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Pictures\"/>
    </mc:Choice>
  </mc:AlternateContent>
  <xr:revisionPtr revIDLastSave="0" documentId="13_ncr:1_{DA92063C-3E8A-43FC-B554-64E3426F4366}" xr6:coauthVersionLast="47" xr6:coauthVersionMax="47" xr10:uidLastSave="{00000000-0000-0000-0000-000000000000}"/>
  <bookViews>
    <workbookView xWindow="-110" yWindow="-110" windowWidth="19420" windowHeight="10300" xr2:uid="{1395D217-E714-4E0B-9ACD-E574DCA5D124}"/>
  </bookViews>
  <sheets>
    <sheet name="Dashboard" sheetId="11" r:id="rId1"/>
    <sheet name="Produk" sheetId="10" r:id="rId2"/>
    <sheet name="Pembelian" sheetId="13" r:id="rId3"/>
    <sheet name="Penjualan" sheetId="14" r:id="rId4"/>
  </sheets>
  <externalReferences>
    <externalReference r:id="rId5"/>
    <externalReference r:id="rId6"/>
  </externalReferences>
  <definedNames>
    <definedName name="_xlnm._FilterDatabase" localSheetId="1" hidden="1">Produk!$B$21:$O$21</definedName>
    <definedName name="_xlnm.Print_Area" localSheetId="0">Dashboard!$B$1:$Z$55</definedName>
    <definedName name="_xlnm.Print_Area" localSheetId="2">Pembelian!$B$1:$I$59</definedName>
    <definedName name="_xlnm.Print_Area" localSheetId="3">Penjualan!$B$1:$U$60</definedName>
    <definedName name="_xlnm.Print_Area" localSheetId="1">Produk!$B$1:$O$63</definedName>
    <definedName name="TAX">'[1]Bid Tabulation'!$E$158</definedName>
    <definedName name="Type">'[2]Maintenance Work Order'!#REF!</definedName>
    <definedName name="valHighlight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10" l="1"/>
  <c r="U5" i="14" a="1"/>
  <c r="U5" i="14" s="1"/>
  <c r="D22" i="11" s="1"/>
  <c r="U6" i="14" a="1"/>
  <c r="U6" i="14" s="1"/>
  <c r="D23" i="11" s="1"/>
  <c r="U7" i="14" a="1"/>
  <c r="U7" i="14" s="1"/>
  <c r="D24" i="11" s="1"/>
  <c r="U8" i="14" a="1"/>
  <c r="U8" i="14" s="1"/>
  <c r="D25" i="11" s="1"/>
  <c r="U4" i="14" a="1"/>
  <c r="U4" i="14" s="1"/>
  <c r="D21" i="11" s="1"/>
  <c r="R5" i="14" a="1"/>
  <c r="R5" i="14" s="1"/>
  <c r="D17" i="11" s="1"/>
  <c r="R6" i="14" a="1"/>
  <c r="R6" i="14" s="1"/>
  <c r="D18" i="11" s="1"/>
  <c r="R7" i="14" a="1"/>
  <c r="R7" i="14" s="1"/>
  <c r="D19" i="11" s="1"/>
  <c r="R8" i="14" a="1"/>
  <c r="R8" i="14" s="1"/>
  <c r="D20" i="11" s="1"/>
  <c r="R4" i="14" a="1"/>
  <c r="R4" i="14" s="1"/>
  <c r="D16" i="11" s="1"/>
  <c r="O5" i="14" a="1"/>
  <c r="O5" i="14" s="1"/>
  <c r="D12" i="11" s="1"/>
  <c r="O6" i="14" a="1"/>
  <c r="O6" i="14" s="1"/>
  <c r="D13" i="11" s="1"/>
  <c r="O7" i="14" a="1"/>
  <c r="O7" i="14" s="1"/>
  <c r="D14" i="11" s="1"/>
  <c r="O8" i="14" a="1"/>
  <c r="O8" i="14" s="1"/>
  <c r="D15" i="11" s="1"/>
  <c r="O4" i="14" a="1"/>
  <c r="O4" i="14" s="1"/>
  <c r="D11" i="11" s="1"/>
  <c r="L4" i="14" a="1"/>
  <c r="L4" i="14" s="1"/>
  <c r="D6" i="11" s="1"/>
  <c r="L5" i="14" a="1"/>
  <c r="L5" i="14" s="1"/>
  <c r="D7" i="11" s="1"/>
  <c r="L6" i="14" a="1"/>
  <c r="L6" i="14" s="1"/>
  <c r="D8" i="11" s="1"/>
  <c r="L7" i="14" a="1"/>
  <c r="L7" i="14" s="1"/>
  <c r="D9" i="11" s="1"/>
  <c r="L8" i="14" a="1"/>
  <c r="L8" i="14" s="1"/>
  <c r="D10" i="11" s="1"/>
  <c r="H7" i="14"/>
  <c r="H6" i="14"/>
  <c r="H5" i="14"/>
  <c r="H4" i="14"/>
  <c r="I12" i="14"/>
  <c r="I13" i="14"/>
  <c r="I14" i="14"/>
  <c r="I15" i="14"/>
  <c r="I16" i="14"/>
  <c r="I17" i="14"/>
  <c r="I18" i="14"/>
  <c r="I19" i="14"/>
  <c r="I20" i="14"/>
  <c r="I21" i="14"/>
  <c r="I60" i="14"/>
  <c r="I59" i="14"/>
  <c r="I58" i="14"/>
  <c r="I57" i="14"/>
  <c r="I56" i="14"/>
  <c r="I55" i="14"/>
  <c r="I54" i="14"/>
  <c r="I53" i="14"/>
  <c r="I52" i="14"/>
  <c r="I51" i="14"/>
  <c r="I47" i="14"/>
  <c r="I46" i="14"/>
  <c r="I45" i="14"/>
  <c r="I44" i="14"/>
  <c r="I43" i="14"/>
  <c r="I42" i="14"/>
  <c r="I41" i="14"/>
  <c r="I40" i="14"/>
  <c r="I39" i="14"/>
  <c r="I38" i="14"/>
  <c r="I34" i="14"/>
  <c r="I33" i="14"/>
  <c r="I32" i="14"/>
  <c r="I31" i="14"/>
  <c r="I30" i="14"/>
  <c r="I29" i="14"/>
  <c r="I28" i="14"/>
  <c r="I27" i="14"/>
  <c r="I26" i="14"/>
  <c r="D5" i="14" s="1"/>
  <c r="I25" i="14"/>
  <c r="I59" i="13"/>
  <c r="I58" i="13"/>
  <c r="I57" i="13"/>
  <c r="I56" i="13"/>
  <c r="I55" i="13"/>
  <c r="I54" i="13"/>
  <c r="I53" i="13"/>
  <c r="D7" i="13" s="1"/>
  <c r="I52" i="13"/>
  <c r="I51" i="13"/>
  <c r="I50" i="13"/>
  <c r="I46" i="13"/>
  <c r="I45" i="13"/>
  <c r="I44" i="13"/>
  <c r="I43" i="13"/>
  <c r="I42" i="13"/>
  <c r="I41" i="13"/>
  <c r="I40" i="13"/>
  <c r="I39" i="13"/>
  <c r="I38" i="13"/>
  <c r="I37" i="13"/>
  <c r="D6" i="13" s="1"/>
  <c r="I33" i="13"/>
  <c r="I32" i="13"/>
  <c r="I31" i="13"/>
  <c r="D5" i="13" s="1"/>
  <c r="I30" i="13"/>
  <c r="I29" i="13"/>
  <c r="I28" i="13"/>
  <c r="I27" i="13"/>
  <c r="I26" i="13"/>
  <c r="I25" i="13"/>
  <c r="I24" i="13"/>
  <c r="I12" i="13"/>
  <c r="I13" i="13"/>
  <c r="I14" i="13"/>
  <c r="I15" i="13"/>
  <c r="I16" i="13"/>
  <c r="I17" i="13"/>
  <c r="I18" i="13"/>
  <c r="I19" i="13"/>
  <c r="I20" i="13"/>
  <c r="I11" i="13"/>
  <c r="J54" i="10"/>
  <c r="J55" i="10"/>
  <c r="J56" i="10"/>
  <c r="J57" i="10"/>
  <c r="J58" i="10"/>
  <c r="J59" i="10"/>
  <c r="J60" i="10"/>
  <c r="J61" i="10"/>
  <c r="J62" i="10"/>
  <c r="J53" i="10"/>
  <c r="J40" i="10"/>
  <c r="J41" i="10"/>
  <c r="J42" i="10"/>
  <c r="J43" i="10"/>
  <c r="J44" i="10"/>
  <c r="J45" i="10"/>
  <c r="J46" i="10"/>
  <c r="J47" i="10"/>
  <c r="J48" i="10"/>
  <c r="J39" i="10"/>
  <c r="J26" i="10"/>
  <c r="J27" i="10"/>
  <c r="J28" i="10"/>
  <c r="J29" i="10"/>
  <c r="J30" i="10"/>
  <c r="J31" i="10"/>
  <c r="J32" i="10"/>
  <c r="J33" i="10"/>
  <c r="J34" i="10"/>
  <c r="J25" i="10"/>
  <c r="J12" i="10"/>
  <c r="J13" i="10"/>
  <c r="J14" i="10"/>
  <c r="J15" i="10"/>
  <c r="J16" i="10"/>
  <c r="J17" i="10"/>
  <c r="J18" i="10"/>
  <c r="J19" i="10"/>
  <c r="J20" i="10"/>
  <c r="O54" i="10"/>
  <c r="O55" i="10"/>
  <c r="O56" i="10"/>
  <c r="O57" i="10"/>
  <c r="O58" i="10"/>
  <c r="O59" i="10"/>
  <c r="O60" i="10"/>
  <c r="O61" i="10"/>
  <c r="O62" i="10"/>
  <c r="O53" i="10"/>
  <c r="O63" i="10" s="1"/>
  <c r="H7" i="10" s="1"/>
  <c r="O40" i="10"/>
  <c r="O49" i="10" s="1"/>
  <c r="H6" i="10" s="1"/>
  <c r="O41" i="10"/>
  <c r="O42" i="10"/>
  <c r="O43" i="10"/>
  <c r="O44" i="10"/>
  <c r="O45" i="10"/>
  <c r="O46" i="10"/>
  <c r="O47" i="10"/>
  <c r="O48" i="10"/>
  <c r="O39" i="10"/>
  <c r="O26" i="10"/>
  <c r="O27" i="10"/>
  <c r="O28" i="10"/>
  <c r="O29" i="10"/>
  <c r="O30" i="10"/>
  <c r="O31" i="10"/>
  <c r="O32" i="10"/>
  <c r="O33" i="10"/>
  <c r="O34" i="10"/>
  <c r="O25" i="10"/>
  <c r="O35" i="10" s="1"/>
  <c r="H5" i="10" s="1"/>
  <c r="O12" i="10"/>
  <c r="O21" i="10" s="1"/>
  <c r="H4" i="10" s="1"/>
  <c r="O13" i="10"/>
  <c r="O14" i="10"/>
  <c r="O15" i="10"/>
  <c r="O16" i="10"/>
  <c r="O17" i="10"/>
  <c r="O18" i="10"/>
  <c r="O19" i="10"/>
  <c r="O20" i="10"/>
  <c r="O11" i="10"/>
  <c r="D7" i="10"/>
  <c r="D6" i="10"/>
  <c r="D5" i="10"/>
  <c r="D4" i="10"/>
  <c r="D6" i="14"/>
  <c r="D7" i="14"/>
  <c r="D4" i="14"/>
  <c r="D4" i="13" l="1"/>
  <c r="D4" i="1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<sst xmlns="http://schemas.openxmlformats.org/spreadsheetml/2006/main" count="507" uniqueCount="79">
  <si>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</si>
  <si>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</si>
  <si>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</si>
  <si>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</si>
  <si>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</si>
  <si>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</si>
  <si>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</si>
  <si>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</si>
  <si>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</si>
  <si>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</si>
  <si>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Category A</t>
  </si>
  <si>
    <t>Category B</t>
  </si>
  <si>
    <t>Category C</t>
  </si>
  <si>
    <t>Category D</t>
  </si>
  <si>
    <t>Category E</t>
  </si>
  <si>
    <t>Markup</t>
  </si>
  <si>
    <t>Customer A</t>
  </si>
  <si>
    <t>Customer B</t>
  </si>
  <si>
    <t>Customer C</t>
  </si>
  <si>
    <t>Customer D</t>
  </si>
  <si>
    <t>Customer E</t>
  </si>
  <si>
    <t>Customer F</t>
  </si>
  <si>
    <t>Customer G</t>
  </si>
  <si>
    <t>Customer H</t>
  </si>
  <si>
    <t>Customer I</t>
  </si>
  <si>
    <t>Customer J</t>
  </si>
  <si>
    <t>Q1</t>
  </si>
  <si>
    <t>Q2</t>
  </si>
  <si>
    <t>Q3</t>
  </si>
  <si>
    <t>Q4</t>
  </si>
  <si>
    <t>Rekap Laporan Stok Barang</t>
  </si>
  <si>
    <t>Dashboard di bawah akan terisi otomatis ketika produk, pembelian, dan penjualan telah diisi</t>
  </si>
  <si>
    <t>Nilai Persediaan Total</t>
  </si>
  <si>
    <t>5 Barang Terjual Teratas Setiap Kuartal</t>
  </si>
  <si>
    <t>Kuartal 1</t>
  </si>
  <si>
    <t>Kuartal 2</t>
  </si>
  <si>
    <t>Kuartal 3</t>
  </si>
  <si>
    <t>Kuartal 4</t>
  </si>
  <si>
    <t>Rincian Produk</t>
  </si>
  <si>
    <t>Rincian Pembelian</t>
  </si>
  <si>
    <t>Data ini terisi otomatis dari tabel di bawah ini</t>
  </si>
  <si>
    <t>Rincian Penjualan</t>
  </si>
  <si>
    <t>Deskripsi Item</t>
  </si>
  <si>
    <t>Kode Barang</t>
  </si>
  <si>
    <t>Dimensi Barang</t>
  </si>
  <si>
    <t>Kategori</t>
  </si>
  <si>
    <t>Harga Pokok per Unit (HPP)</t>
  </si>
  <si>
    <t>Harga Jual</t>
  </si>
  <si>
    <t>Total Pesanan</t>
  </si>
  <si>
    <t>Pesanan Tertunda (Belum Terkirim)</t>
  </si>
  <si>
    <t>Nilai Persediaan</t>
  </si>
  <si>
    <t>Total Pengeluaran untuk Persediaan</t>
  </si>
  <si>
    <t>Nomor Pesanan</t>
  </si>
  <si>
    <t>Tanggal Pemesanan</t>
  </si>
  <si>
    <t>Tanggal Perkiraan Barang Datang</t>
  </si>
  <si>
    <t>Vendor/Pemasok/Supplier</t>
  </si>
  <si>
    <t>Jumlah Unit Dipesan</t>
  </si>
  <si>
    <t>Harga per Unit</t>
  </si>
  <si>
    <t>Total Pembelian</t>
  </si>
  <si>
    <t>DD/MM/YY</t>
  </si>
  <si>
    <t>Nama</t>
  </si>
  <si>
    <t>Total Jumlah Persediaan yang Diterima per Kuartal</t>
  </si>
  <si>
    <t>Total Nilai Persediaan per Kuartal</t>
  </si>
  <si>
    <t>Persediaan Masuk (Barang Datang)</t>
  </si>
  <si>
    <t>Persediaan Awal</t>
  </si>
  <si>
    <t>Batas Minimum Persediaan (Reorder Level)</t>
  </si>
  <si>
    <t>Persediaan Saat Ini</t>
  </si>
  <si>
    <t>Total Nilai Persediaan</t>
  </si>
  <si>
    <t>Total Pendapatan Penjualan per Kuartal</t>
  </si>
  <si>
    <t>Total Unit Terjual per Kuartal</t>
  </si>
  <si>
    <t>5 Barang Terlaris</t>
  </si>
  <si>
    <t>Nomor Invoice</t>
  </si>
  <si>
    <t>Barang Terjual</t>
  </si>
  <si>
    <t>Tanggal Transaksi</t>
  </si>
  <si>
    <t>Tanggal Pengiriman</t>
  </si>
  <si>
    <t>Nama Customer</t>
  </si>
  <si>
    <t>Jumlah Unit Terjual</t>
  </si>
  <si>
    <t>Harga Jual per Unit</t>
  </si>
  <si>
    <t>Total Penjualan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</si>
</sst>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5" formatCode="_(&quot;$&quot;* #,##0.00_);_(&quot;$&quot;* \(#,##0.00\);_(&quot;$&quot;* &quot;-&quot;??_);_(@_)"/>
    <numFmt numFmtId="166" formatCode="&quot;$&quot;#,##0.00"/>
    <numFmt numFmtId="167" formatCode="mm/dd/yy;@"/>
    <numFmt numFmtId="169" formatCode="&quot;Rp&quot;#,##0"/>
  </numFmts>
  <fonts count="19" x14ac:knownFonts="1">
    <font>
      <sz val="11"/>
      <color theme="1"/>
      <name val="Aptos Narrow"/>
      <family val="2"/>
      <scheme val="minor"/>
    </font>
    <font>
      <sz val="11"/>
      <color theme="0"/>
      <name val="Century Gothic"/>
      <family val="2"/>
    </font>
    <font>
      <sz val="8"/>
      <name val="Aptos Narrow"/>
      <family val="2"/>
      <scheme val="minor"/>
    </font>
    <font>
      <sz val="11"/>
      <color theme="1" tint="0.34998626667073579"/>
      <name val="Century Gothic"/>
      <family val="2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 tint="0.34998626667073579"/>
      <name val="Century Gothic"/>
      <family val="2"/>
    </font>
    <font>
      <b/>
      <sz val="11"/>
      <color theme="0"/>
      <name val="Century Gothic"/>
      <family val="2"/>
    </font>
    <font>
      <b/>
      <sz val="18"/>
      <color theme="1"/>
      <name val="Century Gothic"/>
      <family val="2"/>
    </font>
    <font>
      <sz val="22"/>
      <color theme="0"/>
      <name val="Century Gothic"/>
      <family val="2"/>
    </font>
    <font>
      <sz val="15"/>
      <color theme="1" tint="0.34998626667073579"/>
      <name val="Century Gothic"/>
      <family val="2"/>
    </font>
    <font>
      <b/>
      <sz val="14"/>
      <color theme="1" tint="0.249977111117893"/>
      <name val="Century Gothic"/>
      <family val="2"/>
    </font>
    <font>
      <sz val="32"/>
      <color theme="1" tint="0.34998626667073579"/>
      <name val="Century Gothic"/>
      <family val="2"/>
    </font>
    <font>
      <b/>
      <sz val="18"/>
      <color theme="1" tint="0.34998626667073579"/>
      <name val="Century Gothic"/>
      <family val="2"/>
    </font>
    <font>
      <i/>
      <sz val="11"/>
      <color theme="1" tint="0.34998626667073579"/>
      <name val="Century Gothic"/>
      <family val="2"/>
    </font>
    <font>
      <b/>
      <sz val="14"/>
      <color theme="1" tint="0.34998626667073579"/>
      <name val="Century Gothic"/>
      <family val="2"/>
    </font>
    <font>
      <b/>
      <sz val="15"/>
      <color theme="1" tint="0.34998626667073579"/>
      <name val="Century Gothic"/>
      <family val="2"/>
    </font>
    <font>
      <b/>
      <sz val="20"/>
      <color theme="1" tint="0.34998626667073579"/>
      <name val="Century Gothic"/>
      <family val="2"/>
    </font>
    <font>
      <sz val="35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D9665"/>
        <bgColor indexed="64"/>
      </patternFill>
    </fill>
    <fill>
      <patternFill patternType="solid">
        <fgColor rgb="FFE98045"/>
        <bgColor indexed="64"/>
      </patternFill>
    </fill>
    <fill>
      <patternFill patternType="solid">
        <fgColor rgb="FFF1F488"/>
        <bgColor indexed="64"/>
      </patternFill>
    </fill>
    <fill>
      <patternFill patternType="solid">
        <fgColor rgb="FFFAFBD1"/>
        <bgColor indexed="64"/>
      </patternFill>
    </fill>
    <fill>
      <patternFill patternType="solid">
        <fgColor rgb="FFE9ED37"/>
        <bgColor indexed="64"/>
      </patternFill>
    </fill>
  </fills>
  <borders count="2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thick">
        <color theme="0" tint="-0.24994659260841701"/>
      </left>
      <right style="thick">
        <color theme="0" tint="-0.24994659260841701"/>
      </right>
      <top style="thick">
        <color theme="0" tint="-0.24994659260841701"/>
      </top>
      <bottom style="thick">
        <color theme="0" tint="-0.24994659260841701"/>
      </bottom>
      <diagonal/>
    </border>
    <border>
      <left style="thick">
        <color theme="0" tint="-0.24994659260841701"/>
      </left>
      <right style="thick">
        <color theme="0" tint="-0.24994659260841701"/>
      </right>
      <top style="thick">
        <color theme="0" tint="-0.24994659260841701"/>
      </top>
      <bottom style="thin">
        <color theme="0" tint="-0.24994659260841701"/>
      </bottom>
      <diagonal/>
    </border>
    <border>
      <left style="thick">
        <color theme="0" tint="-0.24994659260841701"/>
      </left>
      <right style="thick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theme="0" tint="-0.24994659260841701"/>
      </left>
      <right style="thick">
        <color theme="0" tint="-0.24994659260841701"/>
      </right>
      <top style="thin">
        <color theme="0" tint="-0.24994659260841701"/>
      </top>
      <bottom style="thick">
        <color theme="0" tint="-0.24994659260841701"/>
      </bottom>
      <diagonal/>
    </border>
    <border>
      <left style="thick">
        <color theme="0" tint="-0.24994659260841701"/>
      </left>
      <right/>
      <top style="thick">
        <color theme="0" tint="-0.24994659260841701"/>
      </top>
      <bottom style="thick">
        <color theme="0" tint="-0.24994659260841701"/>
      </bottom>
      <diagonal/>
    </border>
    <border>
      <left/>
      <right style="thick">
        <color theme="0" tint="-0.24994659260841701"/>
      </right>
      <top style="thick">
        <color theme="0" tint="-0.24994659260841701"/>
      </top>
      <bottom style="thick">
        <color theme="0" tint="-0.24994659260841701"/>
      </bottom>
      <diagonal/>
    </border>
    <border>
      <left style="thick">
        <color theme="0" tint="-0.24994659260841701"/>
      </left>
      <right/>
      <top style="thin">
        <color theme="0" tint="-0.24994659260841701"/>
      </top>
      <bottom style="thick">
        <color theme="0" tint="-0.24994659260841701"/>
      </bottom>
      <diagonal/>
    </border>
    <border>
      <left style="thick">
        <color theme="0" tint="-0.24994659260841701"/>
      </left>
      <right/>
      <top style="thick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theme="0" tint="-0.24994659260841701"/>
      </right>
      <top style="thick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theme="0" tint="-0.24994659260841701"/>
      </right>
      <top style="thin">
        <color theme="0" tint="-0.24994659260841701"/>
      </top>
      <bottom style="thick">
        <color theme="0" tint="-0.24994659260841701"/>
      </bottom>
      <diagonal/>
    </border>
  </borders>
  <cellStyleXfs count="4">
    <xf numFmtId="0" fontId="0" fillId="0" borderId="0"/>
    <xf numFmtId="0" fontId="4" fillId="0" borderId="0"/>
    <xf numFmtId="43" fontId="4" fillId="0" borderId="0" applyFont="0" applyFill="0" applyBorder="0" applyAlignment="0" applyProtection="0"/>
    <xf numFmtId="165" fontId="5" fillId="0" borderId="0" applyFont="0" applyFill="0" applyBorder="0" applyAlignment="0" applyProtection="0"/>
  </cellStyleXfs>
  <cellXfs count="79">
    <xf numFmtId="0" fontId="0" fillId="0" borderId="0" xfId="0"/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indent="1"/>
    </xf>
    <xf numFmtId="1" fontId="3" fillId="3" borderId="5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indent="1"/>
    </xf>
    <xf numFmtId="0" fontId="3" fillId="3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indent="1"/>
    </xf>
    <xf numFmtId="1" fontId="3" fillId="3" borderId="6" xfId="0" applyNumberFormat="1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0" fontId="10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center"/>
    </xf>
    <xf numFmtId="166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indent="1"/>
    </xf>
    <xf numFmtId="0" fontId="3" fillId="3" borderId="5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 wrapText="1" indent="1"/>
    </xf>
    <xf numFmtId="1" fontId="8" fillId="12" borderId="1" xfId="0" applyNumberFormat="1" applyFont="1" applyFill="1" applyBorder="1" applyAlignment="1">
      <alignment horizontal="center" vertical="center"/>
    </xf>
    <xf numFmtId="0" fontId="18" fillId="0" borderId="0" xfId="0" applyFont="1"/>
    <xf numFmtId="1" fontId="8" fillId="0" borderId="0" xfId="0" applyNumberFormat="1" applyFont="1" applyAlignment="1">
      <alignment horizontal="center" vertical="center"/>
    </xf>
    <xf numFmtId="0" fontId="17" fillId="15" borderId="11" xfId="0" applyFont="1" applyFill="1" applyBorder="1" applyAlignment="1">
      <alignment horizontal="center" vertical="center"/>
    </xf>
    <xf numFmtId="0" fontId="17" fillId="15" borderId="18" xfId="0" applyFont="1" applyFill="1" applyBorder="1" applyAlignment="1">
      <alignment horizontal="center" vertical="center"/>
    </xf>
    <xf numFmtId="0" fontId="17" fillId="15" borderId="19" xfId="0" applyFont="1" applyFill="1" applyBorder="1" applyAlignment="1">
      <alignment horizontal="center" vertical="center"/>
    </xf>
    <xf numFmtId="1" fontId="16" fillId="16" borderId="20" xfId="0" applyNumberFormat="1" applyFont="1" applyFill="1" applyBorder="1" applyAlignment="1">
      <alignment horizontal="center" vertical="center"/>
    </xf>
    <xf numFmtId="1" fontId="16" fillId="16" borderId="21" xfId="0" applyNumberFormat="1" applyFont="1" applyFill="1" applyBorder="1" applyAlignment="1">
      <alignment horizontal="center" vertical="center"/>
    </xf>
    <xf numFmtId="1" fontId="16" fillId="16" borderId="22" xfId="0" applyNumberFormat="1" applyFont="1" applyFill="1" applyBorder="1" applyAlignment="1">
      <alignment horizontal="center" vertical="center"/>
    </xf>
    <xf numFmtId="0" fontId="14" fillId="0" borderId="0" xfId="0" applyFont="1"/>
    <xf numFmtId="0" fontId="17" fillId="15" borderId="16" xfId="0" applyFont="1" applyFill="1" applyBorder="1" applyAlignment="1">
      <alignment horizontal="center" vertical="center"/>
    </xf>
    <xf numFmtId="0" fontId="17" fillId="15" borderId="17" xfId="0" applyFont="1" applyFill="1" applyBorder="1" applyAlignment="1">
      <alignment horizontal="center" vertical="center"/>
    </xf>
    <xf numFmtId="0" fontId="17" fillId="17" borderId="13" xfId="0" applyFont="1" applyFill="1" applyBorder="1" applyAlignment="1">
      <alignment horizontal="center" vertical="center"/>
    </xf>
    <xf numFmtId="0" fontId="17" fillId="17" borderId="14" xfId="0" applyFont="1" applyFill="1" applyBorder="1" applyAlignment="1">
      <alignment horizontal="center" vertical="center"/>
    </xf>
    <xf numFmtId="0" fontId="17" fillId="17" borderId="15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 indent="1"/>
    </xf>
    <xf numFmtId="0" fontId="9" fillId="7" borderId="3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5" fillId="10" borderId="9" xfId="0" applyFont="1" applyFill="1" applyBorder="1" applyAlignment="1">
      <alignment horizontal="right" vertical="center" indent="1"/>
    </xf>
    <xf numFmtId="0" fontId="9" fillId="9" borderId="3" xfId="0" applyFont="1" applyFill="1" applyBorder="1" applyAlignment="1">
      <alignment horizontal="left" vertical="center" indent="1"/>
    </xf>
    <xf numFmtId="0" fontId="9" fillId="9" borderId="8" xfId="0" applyFont="1" applyFill="1" applyBorder="1" applyAlignment="1">
      <alignment horizontal="left" vertical="center" indent="1"/>
    </xf>
    <xf numFmtId="0" fontId="9" fillId="0" borderId="0" xfId="0" applyFont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horizontal="left" vertical="center" indent="1"/>
    </xf>
    <xf numFmtId="0" fontId="9" fillId="14" borderId="8" xfId="0" applyFont="1" applyFill="1" applyBorder="1" applyAlignment="1">
      <alignment horizontal="left" vertical="center" indent="1"/>
    </xf>
    <xf numFmtId="169" fontId="8" fillId="2" borderId="1" xfId="0" applyNumberFormat="1" applyFont="1" applyFill="1" applyBorder="1" applyAlignment="1">
      <alignment horizontal="center" vertical="center"/>
    </xf>
    <xf numFmtId="169" fontId="3" fillId="2" borderId="1" xfId="3" applyNumberFormat="1" applyFont="1" applyFill="1" applyBorder="1" applyAlignment="1">
      <alignment horizontal="center" vertical="center" wrapText="1"/>
    </xf>
    <xf numFmtId="169" fontId="3" fillId="2" borderId="1" xfId="0" applyNumberFormat="1" applyFont="1" applyFill="1" applyBorder="1" applyAlignment="1">
      <alignment horizontal="center" vertical="center" wrapText="1"/>
    </xf>
    <xf numFmtId="169" fontId="3" fillId="6" borderId="1" xfId="0" applyNumberFormat="1" applyFont="1" applyFill="1" applyBorder="1" applyAlignment="1">
      <alignment horizontal="center" vertical="center" wrapText="1"/>
    </xf>
    <xf numFmtId="169" fontId="3" fillId="3" borderId="1" xfId="0" applyNumberFormat="1" applyFont="1" applyFill="1" applyBorder="1" applyAlignment="1">
      <alignment horizontal="center" vertical="center" wrapText="1"/>
    </xf>
    <xf numFmtId="169" fontId="3" fillId="3" borderId="5" xfId="0" applyNumberFormat="1" applyFont="1" applyFill="1" applyBorder="1" applyAlignment="1">
      <alignment horizontal="center" vertical="center" wrapText="1"/>
    </xf>
    <xf numFmtId="169" fontId="11" fillId="0" borderId="9" xfId="0" applyNumberFormat="1" applyFont="1" applyBorder="1" applyAlignment="1">
      <alignment horizontal="center" vertical="center"/>
    </xf>
    <xf numFmtId="169" fontId="3" fillId="3" borderId="6" xfId="0" applyNumberFormat="1" applyFont="1" applyFill="1" applyBorder="1" applyAlignment="1">
      <alignment horizontal="center" vertical="center" wrapText="1"/>
    </xf>
    <xf numFmtId="169" fontId="11" fillId="0" borderId="7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/>
    </xf>
    <xf numFmtId="169" fontId="3" fillId="6" borderId="1" xfId="0" applyNumberFormat="1" applyFont="1" applyFill="1" applyBorder="1" applyAlignment="1">
      <alignment horizontal="left" vertical="center" indent="1"/>
    </xf>
    <xf numFmtId="169" fontId="8" fillId="11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169" fontId="8" fillId="12" borderId="1" xfId="0" applyNumberFormat="1" applyFont="1" applyFill="1" applyBorder="1" applyAlignment="1">
      <alignment horizontal="center" vertical="center"/>
    </xf>
    <xf numFmtId="169" fontId="17" fillId="16" borderId="12" xfId="0" applyNumberFormat="1" applyFont="1" applyFill="1" applyBorder="1" applyAlignment="1">
      <alignment horizontal="center" vertical="center"/>
    </xf>
  </cellXfs>
  <cellStyles count="4">
    <cellStyle name="Comma 2" xfId="2" xr:uid="{FA6D9C5C-3888-4AF0-B761-BC1430FC5AFE}"/>
    <cellStyle name="Currency" xfId="3" builtinId="4"/>
    <cellStyle name="Normal" xfId="0" builtinId="0"/>
    <cellStyle name="Normal 2" xfId="1" xr:uid="{B4B4FF18-FF9E-4C05-8D22-95EB39CCD200}"/>
  </cellStyles>
  <dxfs count="106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scheme val="none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border outline="0"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scheme val="none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border outline="0"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scheme val="none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border outline="0"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scheme val="none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numFmt numFmtId="169" formatCode="&quot;Rp&quot;#,##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numFmt numFmtId="169" formatCode="&quot;Rp&quot;#,##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numFmt numFmtId="169" formatCode="&quot;Rp&quot;#,##0"/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numFmt numFmtId="169" formatCode="&quot;Rp&quot;#,##0"/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numFmt numFmtId="169" formatCode="&quot;Rp&quot;#,##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numFmt numFmtId="169" formatCode="&quot;Rp&quot;#,##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numFmt numFmtId="169" formatCode="&quot;Rp&quot;#,##0"/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numFmt numFmtId="169" formatCode="&quot;Rp&quot;#,##0"/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numFmt numFmtId="169" formatCode="&quot;Rp&quot;#,##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numFmt numFmtId="169" formatCode="&quot;Rp&quot;#,##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numFmt numFmtId="169" formatCode="&quot;Rp&quot;#,##0"/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numFmt numFmtId="169" formatCode="&quot;Rp&quot;#,##0"/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numFmt numFmtId="169" formatCode="&quot;Rp&quot;#,##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numFmt numFmtId="169" formatCode="&quot;Rp&quot;#,##0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numFmt numFmtId="169" formatCode="&quot;Rp&quot;#,##0"/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numFmt numFmtId="169" formatCode="&quot;Rp&quot;#,##0"/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left" vertical="center" textRotation="0" wrapText="1" relativeIndent="1" justifyLastLine="0" shrinkToFit="0" readingOrder="0"/>
      <border diagonalUp="0" diagonalDown="0" outline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 outline="0">
        <top style="thin">
          <color theme="0" tint="-0.24994659260841701"/>
        </top>
      </border>
    </dxf>
    <dxf>
      <border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left" vertical="center" textRotation="0" wrapText="1" relativeIndent="1" justifyLastLine="0" shrinkToFit="0" readingOrder="0"/>
      <border diagonalUp="0" diagonalDown="0" outline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 outline="0">
        <top style="thin">
          <color theme="0" tint="-0.24994659260841701"/>
        </top>
      </border>
    </dxf>
    <dxf>
      <border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left" vertical="center" textRotation="0" wrapText="1" relativeIndent="1" justifyLastLine="0" shrinkToFit="0" readingOrder="0"/>
      <border diagonalUp="0" diagonalDown="0" outline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 outline="0">
        <top style="thin">
          <color theme="0" tint="-0.24994659260841701"/>
        </top>
      </border>
    </dxf>
    <dxf>
      <border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left" vertical="center" textRotation="0" wrapText="1" relativeIndent="1" justifyLastLine="0" shrinkToFit="0" readingOrder="0"/>
      <border diagonalUp="0" diagonalDown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 outline="0">
        <top style="thin">
          <color theme="0" tint="-0.24994659260841701"/>
        </top>
      </border>
    </dxf>
    <dxf>
      <border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Century Gothic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theme="0" tint="-0.24994659260841701"/>
        </bottom>
      </border>
    </dxf>
  </dxfs>
  <tableStyles count="1" defaultTableStyle="TableStyleMedium2" defaultPivotStyle="PivotStyleLight16">
    <tableStyle name="Invisible" pivot="0" table="0" count="0" xr9:uid="{3085DC00-E08F-493B-8780-C82D068FCC56}"/>
  </tableStyles>
  <colors>
    <mruColors>
      <color rgb="FF00BD32"/>
      <color rgb="FFFAFBD1"/>
      <color rgb="FFE9ED37"/>
      <color rgb="FFF1F488"/>
      <color rgb="FFE98045"/>
      <color rgb="FFED9665"/>
      <color rgb="FFF6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sz="2200">
                <a:latin typeface="Century Gothic" panose="020B0502020202020204" pitchFamily="34" charset="0"/>
              </a:rPr>
              <a:t>Total Stock Received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Produk!$B$4:$B$7</c:f>
              <c:strCache>
                <c:ptCount val="4"/>
                <c:pt idx="0">
                  <c:v>Kuartal 1</c:v>
                </c:pt>
                <c:pt idx="1">
                  <c:v>Kuartal 2</c:v>
                </c:pt>
                <c:pt idx="2">
                  <c:v>Kuartal 3</c:v>
                </c:pt>
                <c:pt idx="3">
                  <c:v>Kuartal 4</c:v>
                </c:pt>
              </c:strCache>
            </c:strRef>
          </c:cat>
          <c:val>
            <c:numRef>
              <c:f>Produk!$D$4:$D$7</c:f>
              <c:numCache>
                <c:formatCode>0</c:formatCode>
                <c:ptCount val="4"/>
                <c:pt idx="0">
                  <c:v>42</c:v>
                </c:pt>
                <c:pt idx="1">
                  <c:v>63</c:v>
                </c:pt>
                <c:pt idx="2">
                  <c:v>75</c:v>
                </c:pt>
                <c:pt idx="3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3-4DE7-8644-EA42A883A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8801616"/>
        <c:axId val="172879921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6">
                      <a:tint val="77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Produk!$B$4:$B$7</c15:sqref>
                        </c15:formulaRef>
                      </c:ext>
                    </c:extLst>
                    <c:strCache>
                      <c:ptCount val="4"/>
                      <c:pt idx="0">
                        <c:v>Kuartal 1</c:v>
                      </c:pt>
                      <c:pt idx="1">
                        <c:v>Kuartal 2</c:v>
                      </c:pt>
                      <c:pt idx="2">
                        <c:v>Kuartal 3</c:v>
                      </c:pt>
                      <c:pt idx="3">
                        <c:v>Kuartal 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Produk!$C$4:$C$7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4B3-4DE7-8644-EA42A883A71A}"/>
                  </c:ext>
                </c:extLst>
              </c15:ser>
            </c15:filteredBarSeries>
          </c:ext>
        </c:extLst>
      </c:barChart>
      <c:catAx>
        <c:axId val="1728801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728799216"/>
        <c:crosses val="autoZero"/>
        <c:auto val="1"/>
        <c:lblAlgn val="ctr"/>
        <c:lblOffset val="100"/>
        <c:noMultiLvlLbl val="0"/>
      </c:catAx>
      <c:valAx>
        <c:axId val="172879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72880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AFBD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sz="2000">
                <a:latin typeface="Century Gothic" panose="020B0502020202020204" pitchFamily="34" charset="0"/>
              </a:rPr>
              <a:t>Total Pengeluaran untuk Persediaan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Pembelian!$B$4:$B$7</c:f>
              <c:strCache>
                <c:ptCount val="4"/>
                <c:pt idx="0">
                  <c:v>Kuartal 1</c:v>
                </c:pt>
                <c:pt idx="1">
                  <c:v>Kuartal 2</c:v>
                </c:pt>
                <c:pt idx="2">
                  <c:v>Kuartal 3</c:v>
                </c:pt>
                <c:pt idx="3">
                  <c:v>Kuartal 4</c:v>
                </c:pt>
              </c:strCache>
            </c:strRef>
          </c:cat>
          <c:val>
            <c:numRef>
              <c:f>Pembelian!$D$4:$D$7</c:f>
              <c:numCache>
                <c:formatCode>"Rp"#,##0</c:formatCode>
                <c:ptCount val="4"/>
                <c:pt idx="0">
                  <c:v>1137000</c:v>
                </c:pt>
                <c:pt idx="1">
                  <c:v>825000</c:v>
                </c:pt>
                <c:pt idx="2">
                  <c:v>1284000</c:v>
                </c:pt>
                <c:pt idx="3">
                  <c:v>1331000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F7-4B8A-BBD5-95DCF1A13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2188304"/>
        <c:axId val="6421892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4">
                      <a:shade val="7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Pembelian!$B$4:$B$7</c15:sqref>
                        </c15:formulaRef>
                      </c:ext>
                    </c:extLst>
                    <c:strCache>
                      <c:ptCount val="4"/>
                      <c:pt idx="0">
                        <c:v>Kuartal 1</c:v>
                      </c:pt>
                      <c:pt idx="1">
                        <c:v>Kuartal 2</c:v>
                      </c:pt>
                      <c:pt idx="2">
                        <c:v>Kuartal 3</c:v>
                      </c:pt>
                      <c:pt idx="3">
                        <c:v>Kuartal 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Pembelian!$C$4:$C$7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DF7-4B8A-BBD5-95DCF1A13985}"/>
                  </c:ext>
                </c:extLst>
              </c15:ser>
            </c15:filteredBarSeries>
          </c:ext>
        </c:extLst>
      </c:barChart>
      <c:catAx>
        <c:axId val="642188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642189264"/>
        <c:crosses val="autoZero"/>
        <c:auto val="1"/>
        <c:lblAlgn val="ctr"/>
        <c:lblOffset val="100"/>
        <c:noMultiLvlLbl val="0"/>
      </c:catAx>
      <c:valAx>
        <c:axId val="64218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64218830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AFBD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sz="2000">
                <a:latin typeface="Century Gothic" panose="020B0502020202020204" pitchFamily="34" charset="0"/>
              </a:rPr>
              <a:t>Total Unit Terjual per Kuartal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Penjualan!$F$4:$F$7</c:f>
              <c:strCache>
                <c:ptCount val="4"/>
                <c:pt idx="0">
                  <c:v>Kuartal 1</c:v>
                </c:pt>
                <c:pt idx="1">
                  <c:v>Kuartal 2</c:v>
                </c:pt>
                <c:pt idx="2">
                  <c:v>Kuartal 3</c:v>
                </c:pt>
                <c:pt idx="3">
                  <c:v>Kuartal 4</c:v>
                </c:pt>
              </c:strCache>
            </c:strRef>
          </c:cat>
          <c:val>
            <c:numRef>
              <c:f>Penjualan!$H$4:$H$7</c:f>
              <c:numCache>
                <c:formatCode>0</c:formatCode>
                <c:ptCount val="4"/>
                <c:pt idx="0">
                  <c:v>128</c:v>
                </c:pt>
                <c:pt idx="1">
                  <c:v>117</c:v>
                </c:pt>
                <c:pt idx="2">
                  <c:v>153</c:v>
                </c:pt>
                <c:pt idx="3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0-43F3-9F7F-6A2961541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4346096"/>
        <c:axId val="42434897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Penjualan!$F$4:$F$7</c15:sqref>
                        </c15:formulaRef>
                      </c:ext>
                    </c:extLst>
                    <c:strCache>
                      <c:ptCount val="4"/>
                      <c:pt idx="0">
                        <c:v>Kuartal 1</c:v>
                      </c:pt>
                      <c:pt idx="1">
                        <c:v>Kuartal 2</c:v>
                      </c:pt>
                      <c:pt idx="2">
                        <c:v>Kuartal 3</c:v>
                      </c:pt>
                      <c:pt idx="3">
                        <c:v>Kuartal 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Penjualan!$G$4:$G$7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B40-43F3-9F7F-6A29615417AA}"/>
                  </c:ext>
                </c:extLst>
              </c15:ser>
            </c15:filteredBarSeries>
          </c:ext>
        </c:extLst>
      </c:barChart>
      <c:catAx>
        <c:axId val="424346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424348976"/>
        <c:crosses val="autoZero"/>
        <c:auto val="1"/>
        <c:lblAlgn val="ctr"/>
        <c:lblOffset val="100"/>
        <c:noMultiLvlLbl val="0"/>
      </c:catAx>
      <c:valAx>
        <c:axId val="4243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42434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AFBD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sz="2000">
                <a:latin typeface="Century Gothic" panose="020B0502020202020204" pitchFamily="34" charset="0"/>
              </a:rPr>
              <a:t>Total Pendapatan Penjualan per Kuartal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Penjualan!$B$4:$B$7</c:f>
              <c:strCache>
                <c:ptCount val="4"/>
                <c:pt idx="0">
                  <c:v>Kuartal 1</c:v>
                </c:pt>
                <c:pt idx="1">
                  <c:v>Kuartal 2</c:v>
                </c:pt>
                <c:pt idx="2">
                  <c:v>Kuartal 3</c:v>
                </c:pt>
                <c:pt idx="3">
                  <c:v>Kuartal 4</c:v>
                </c:pt>
              </c:strCache>
            </c:strRef>
          </c:cat>
          <c:val>
            <c:numRef>
              <c:f>Penjualan!$D$4:$D$7</c:f>
              <c:numCache>
                <c:formatCode>"Rp"#,##0</c:formatCode>
                <c:ptCount val="4"/>
                <c:pt idx="0">
                  <c:v>5069000</c:v>
                </c:pt>
                <c:pt idx="1">
                  <c:v>3610000</c:v>
                </c:pt>
                <c:pt idx="2">
                  <c:v>5844000</c:v>
                </c:pt>
                <c:pt idx="3">
                  <c:v>3294000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7-4ABD-AE54-8E631217E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3765632"/>
        <c:axId val="4837646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Penjualan!$B$4:$B$7</c15:sqref>
                        </c15:formulaRef>
                      </c:ext>
                    </c:extLst>
                    <c:strCache>
                      <c:ptCount val="4"/>
                      <c:pt idx="0">
                        <c:v>Kuartal 1</c:v>
                      </c:pt>
                      <c:pt idx="1">
                        <c:v>Kuartal 2</c:v>
                      </c:pt>
                      <c:pt idx="2">
                        <c:v>Kuartal 3</c:v>
                      </c:pt>
                      <c:pt idx="3">
                        <c:v>Kuartal 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Penjualan!$C$4:$C$7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5F7-4ABD-AE54-8E631217E832}"/>
                  </c:ext>
                </c:extLst>
              </c15:ser>
            </c15:filteredBarSeries>
          </c:ext>
        </c:extLst>
      </c:barChart>
      <c:catAx>
        <c:axId val="483765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483764672"/>
        <c:crosses val="autoZero"/>
        <c:auto val="1"/>
        <c:lblAlgn val="ctr"/>
        <c:lblOffset val="100"/>
        <c:noMultiLvlLbl val="0"/>
      </c:catAx>
      <c:valAx>
        <c:axId val="48376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483765632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AFBD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200">
                <a:latin typeface="Century Gothic" panose="020B0502020202020204" pitchFamily="34" charset="0"/>
              </a:rPr>
              <a:t>Pendapatan Q1 berdasarkan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Penjualan!$I$1:$I$11</c:f>
              <c:strCache>
                <c:ptCount val="11"/>
                <c:pt idx="1">
                  <c:v>Total Unit Terjual per Kuartal</c:v>
                </c:pt>
                <c:pt idx="2">
                  <c:v>Data ini terisi otomatis dari tabel di bawah ini</c:v>
                </c:pt>
                <c:pt idx="3">
                  <c:v>128</c:v>
                </c:pt>
                <c:pt idx="4">
                  <c:v>117</c:v>
                </c:pt>
                <c:pt idx="5">
                  <c:v>153</c:v>
                </c:pt>
                <c:pt idx="6">
                  <c:v>98</c:v>
                </c:pt>
                <c:pt idx="10">
                  <c:v>Total Penjualan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Penjualan!$F$12:$F$21</c:f>
              <c:strCache>
                <c:ptCount val="10"/>
                <c:pt idx="0">
                  <c:v>Customer A</c:v>
                </c:pt>
                <c:pt idx="1">
                  <c:v>Customer B</c:v>
                </c:pt>
                <c:pt idx="2">
                  <c:v>Customer C</c:v>
                </c:pt>
                <c:pt idx="3">
                  <c:v>Customer D</c:v>
                </c:pt>
                <c:pt idx="4">
                  <c:v>Customer E</c:v>
                </c:pt>
                <c:pt idx="5">
                  <c:v>Customer F</c:v>
                </c:pt>
                <c:pt idx="6">
                  <c:v>Customer G</c:v>
                </c:pt>
                <c:pt idx="7">
                  <c:v>Customer H</c:v>
                </c:pt>
                <c:pt idx="8">
                  <c:v>Customer I</c:v>
                </c:pt>
                <c:pt idx="9">
                  <c:v>Customer J</c:v>
                </c:pt>
              </c:strCache>
            </c:strRef>
          </c:cat>
          <c:val>
            <c:numRef>
              <c:f>Penjualan!$I$12:$I$21</c:f>
              <c:numCache>
                <c:formatCode>"Rp"#,##0</c:formatCode>
                <c:ptCount val="10"/>
                <c:pt idx="0">
                  <c:v>500000</c:v>
                </c:pt>
                <c:pt idx="1">
                  <c:v>1105000</c:v>
                </c:pt>
                <c:pt idx="2">
                  <c:v>200000</c:v>
                </c:pt>
                <c:pt idx="3">
                  <c:v>125000</c:v>
                </c:pt>
                <c:pt idx="4">
                  <c:v>1440000</c:v>
                </c:pt>
                <c:pt idx="5">
                  <c:v>225000</c:v>
                </c:pt>
                <c:pt idx="6">
                  <c:v>144000</c:v>
                </c:pt>
                <c:pt idx="7">
                  <c:v>1210000</c:v>
                </c:pt>
                <c:pt idx="8">
                  <c:v>48000</c:v>
                </c:pt>
                <c:pt idx="9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C-4B79-A6A2-825D29543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4698336"/>
        <c:axId val="424695456"/>
      </c:barChart>
      <c:catAx>
        <c:axId val="42469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424695456"/>
        <c:crosses val="autoZero"/>
        <c:auto val="1"/>
        <c:lblAlgn val="ctr"/>
        <c:lblOffset val="100"/>
        <c:noMultiLvlLbl val="0"/>
      </c:catAx>
      <c:valAx>
        <c:axId val="42469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424698336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AFBD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sz="2000">
                <a:latin typeface="Century Gothic" panose="020B0502020202020204" pitchFamily="34" charset="0"/>
              </a:rPr>
              <a:t>Pendapatan Q2 berdasarkan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Penjualan!$I$1:$I$11</c:f>
              <c:strCache>
                <c:ptCount val="11"/>
                <c:pt idx="1">
                  <c:v>Total Unit Terjual per Kuartal</c:v>
                </c:pt>
                <c:pt idx="2">
                  <c:v>Data ini terisi otomatis dari tabel di bawah ini</c:v>
                </c:pt>
                <c:pt idx="3">
                  <c:v>128</c:v>
                </c:pt>
                <c:pt idx="4">
                  <c:v>117</c:v>
                </c:pt>
                <c:pt idx="5">
                  <c:v>153</c:v>
                </c:pt>
                <c:pt idx="6">
                  <c:v>98</c:v>
                </c:pt>
                <c:pt idx="10">
                  <c:v>Total Penjualan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Penjualan!$F$25:$F$34</c:f>
              <c:strCache>
                <c:ptCount val="10"/>
                <c:pt idx="0">
                  <c:v>Customer A</c:v>
                </c:pt>
                <c:pt idx="1">
                  <c:v>Customer B</c:v>
                </c:pt>
                <c:pt idx="2">
                  <c:v>Customer C</c:v>
                </c:pt>
                <c:pt idx="3">
                  <c:v>Customer D</c:v>
                </c:pt>
                <c:pt idx="4">
                  <c:v>Customer E</c:v>
                </c:pt>
                <c:pt idx="5">
                  <c:v>Customer F</c:v>
                </c:pt>
                <c:pt idx="6">
                  <c:v>Customer G</c:v>
                </c:pt>
                <c:pt idx="7">
                  <c:v>Customer H</c:v>
                </c:pt>
                <c:pt idx="8">
                  <c:v>Customer I</c:v>
                </c:pt>
                <c:pt idx="9">
                  <c:v>Customer J</c:v>
                </c:pt>
              </c:strCache>
            </c:strRef>
          </c:cat>
          <c:val>
            <c:numRef>
              <c:f>Penjualan!$I$25:$I$34</c:f>
              <c:numCache>
                <c:formatCode>"Rp"#,##0</c:formatCode>
                <c:ptCount val="10"/>
                <c:pt idx="0">
                  <c:v>350000</c:v>
                </c:pt>
                <c:pt idx="1">
                  <c:v>390000</c:v>
                </c:pt>
                <c:pt idx="2">
                  <c:v>175000</c:v>
                </c:pt>
                <c:pt idx="3">
                  <c:v>75000</c:v>
                </c:pt>
                <c:pt idx="4">
                  <c:v>720000</c:v>
                </c:pt>
                <c:pt idx="5">
                  <c:v>150000</c:v>
                </c:pt>
                <c:pt idx="6">
                  <c:v>420000</c:v>
                </c:pt>
                <c:pt idx="7">
                  <c:v>1210000</c:v>
                </c:pt>
                <c:pt idx="8">
                  <c:v>48000</c:v>
                </c:pt>
                <c:pt idx="9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D-4A56-AD7A-293873E88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1100080"/>
        <c:axId val="483765152"/>
      </c:barChart>
      <c:catAx>
        <c:axId val="194110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483765152"/>
        <c:crosses val="autoZero"/>
        <c:auto val="1"/>
        <c:lblAlgn val="ctr"/>
        <c:lblOffset val="100"/>
        <c:noMultiLvlLbl val="0"/>
      </c:catAx>
      <c:valAx>
        <c:axId val="48376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94110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AFBD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sz="2000">
                <a:latin typeface="Century Gothic" panose="020B0502020202020204" pitchFamily="34" charset="0"/>
              </a:rPr>
              <a:t>Pendapatan Q3 berdasarkan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Penjualan!$I$1:$I$11</c:f>
              <c:strCache>
                <c:ptCount val="11"/>
                <c:pt idx="1">
                  <c:v>Total Unit Terjual per Kuartal</c:v>
                </c:pt>
                <c:pt idx="2">
                  <c:v>Data ini terisi otomatis dari tabel di bawah ini</c:v>
                </c:pt>
                <c:pt idx="3">
                  <c:v>128</c:v>
                </c:pt>
                <c:pt idx="4">
                  <c:v>117</c:v>
                </c:pt>
                <c:pt idx="5">
                  <c:v>153</c:v>
                </c:pt>
                <c:pt idx="6">
                  <c:v>98</c:v>
                </c:pt>
                <c:pt idx="10">
                  <c:v>Total Penjualan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Penjualan!$F$38:$F$47</c:f>
              <c:strCache>
                <c:ptCount val="10"/>
                <c:pt idx="0">
                  <c:v>Customer A</c:v>
                </c:pt>
                <c:pt idx="1">
                  <c:v>Customer B</c:v>
                </c:pt>
                <c:pt idx="2">
                  <c:v>Customer C</c:v>
                </c:pt>
                <c:pt idx="3">
                  <c:v>Customer D</c:v>
                </c:pt>
                <c:pt idx="4">
                  <c:v>Customer E</c:v>
                </c:pt>
                <c:pt idx="5">
                  <c:v>Customer F</c:v>
                </c:pt>
                <c:pt idx="6">
                  <c:v>Customer G</c:v>
                </c:pt>
                <c:pt idx="7">
                  <c:v>Customer H</c:v>
                </c:pt>
                <c:pt idx="8">
                  <c:v>Customer I</c:v>
                </c:pt>
                <c:pt idx="9">
                  <c:v>Customer J</c:v>
                </c:pt>
              </c:strCache>
            </c:strRef>
          </c:cat>
          <c:val>
            <c:numRef>
              <c:f>Penjualan!$I$38:$I$47</c:f>
              <c:numCache>
                <c:formatCode>"Rp"#,##0</c:formatCode>
                <c:ptCount val="10"/>
                <c:pt idx="0">
                  <c:v>2250000</c:v>
                </c:pt>
                <c:pt idx="1">
                  <c:v>1170000</c:v>
                </c:pt>
                <c:pt idx="2">
                  <c:v>225000</c:v>
                </c:pt>
                <c:pt idx="3">
                  <c:v>150000</c:v>
                </c:pt>
                <c:pt idx="4">
                  <c:v>840000</c:v>
                </c:pt>
                <c:pt idx="5">
                  <c:v>225000</c:v>
                </c:pt>
                <c:pt idx="6">
                  <c:v>156000</c:v>
                </c:pt>
                <c:pt idx="7">
                  <c:v>660000</c:v>
                </c:pt>
                <c:pt idx="8">
                  <c:v>88000</c:v>
                </c:pt>
                <c:pt idx="9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AA-4286-8B7F-C2A62DF02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635856"/>
        <c:axId val="635634896"/>
      </c:barChart>
      <c:catAx>
        <c:axId val="63563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635634896"/>
        <c:crosses val="autoZero"/>
        <c:auto val="1"/>
        <c:lblAlgn val="ctr"/>
        <c:lblOffset val="100"/>
        <c:noMultiLvlLbl val="0"/>
      </c:catAx>
      <c:valAx>
        <c:axId val="63563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635635856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AFBD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sz="2000">
                <a:latin typeface="Century Gothic" panose="020B0502020202020204" pitchFamily="34" charset="0"/>
              </a:rPr>
              <a:t>Pendapatan Q4 berdasarkan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Penjualan!$I$1:$I$11</c:f>
              <c:strCache>
                <c:ptCount val="11"/>
                <c:pt idx="1">
                  <c:v>Total Unit Terjual per Kuartal</c:v>
                </c:pt>
                <c:pt idx="2">
                  <c:v>Data ini terisi otomatis dari tabel di bawah ini</c:v>
                </c:pt>
                <c:pt idx="3">
                  <c:v>128</c:v>
                </c:pt>
                <c:pt idx="4">
                  <c:v>117</c:v>
                </c:pt>
                <c:pt idx="5">
                  <c:v>153</c:v>
                </c:pt>
                <c:pt idx="6">
                  <c:v>98</c:v>
                </c:pt>
                <c:pt idx="10">
                  <c:v>Total Penjualan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Penjualan!$F$51:$F$60</c:f>
              <c:strCache>
                <c:ptCount val="10"/>
                <c:pt idx="0">
                  <c:v>Customer A</c:v>
                </c:pt>
                <c:pt idx="1">
                  <c:v>Customer B</c:v>
                </c:pt>
                <c:pt idx="2">
                  <c:v>Customer C</c:v>
                </c:pt>
                <c:pt idx="3">
                  <c:v>Customer D</c:v>
                </c:pt>
                <c:pt idx="4">
                  <c:v>Customer E</c:v>
                </c:pt>
                <c:pt idx="5">
                  <c:v>Customer F</c:v>
                </c:pt>
                <c:pt idx="6">
                  <c:v>Customer G</c:v>
                </c:pt>
                <c:pt idx="7">
                  <c:v>Customer H</c:v>
                </c:pt>
                <c:pt idx="8">
                  <c:v>Customer I</c:v>
                </c:pt>
                <c:pt idx="9">
                  <c:v>Customer J</c:v>
                </c:pt>
              </c:strCache>
            </c:strRef>
          </c:cat>
          <c:val>
            <c:numRef>
              <c:f>Penjualan!$I$51:$I$60</c:f>
              <c:numCache>
                <c:formatCode>"Rp"#,##0</c:formatCode>
                <c:ptCount val="10"/>
                <c:pt idx="0">
                  <c:v>250000</c:v>
                </c:pt>
                <c:pt idx="1">
                  <c:v>780000</c:v>
                </c:pt>
                <c:pt idx="2">
                  <c:v>200000</c:v>
                </c:pt>
                <c:pt idx="3">
                  <c:v>125000</c:v>
                </c:pt>
                <c:pt idx="4">
                  <c:v>240000</c:v>
                </c:pt>
                <c:pt idx="5">
                  <c:v>225000</c:v>
                </c:pt>
                <c:pt idx="6">
                  <c:v>144000</c:v>
                </c:pt>
                <c:pt idx="7">
                  <c:v>1210000</c:v>
                </c:pt>
                <c:pt idx="8">
                  <c:v>48000</c:v>
                </c:pt>
                <c:pt idx="9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B-4D39-8144-07D56BE34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7560096"/>
        <c:axId val="607261200"/>
      </c:barChart>
      <c:catAx>
        <c:axId val="207756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607261200"/>
        <c:crosses val="autoZero"/>
        <c:auto val="1"/>
        <c:lblAlgn val="ctr"/>
        <c:lblOffset val="100"/>
        <c:noMultiLvlLbl val="0"/>
      </c:catAx>
      <c:valAx>
        <c:axId val="60726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2077560096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AFBD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342900</xdr:colOff>
      <xdr:row>12</xdr:row>
      <xdr:rowOff>95250</xdr:rowOff>
    </xdr:from>
    <xdr:to>
      <xdr:col>25</xdr:col>
      <xdr:colOff>0</xdr:colOff>
      <xdr:row>24</xdr:row>
      <xdr:rowOff>305858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1E231E-3220-4F68-A187-940DFCE468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68036</xdr:colOff>
      <xdr:row>12</xdr:row>
      <xdr:rowOff>88446</xdr:rowOff>
    </xdr:from>
    <xdr:to>
      <xdr:col>17</xdr:col>
      <xdr:colOff>200025</xdr:colOff>
      <xdr:row>24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E14B90-792E-4484-B9F0-9BDC93EAE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333374</xdr:colOff>
      <xdr:row>3</xdr:row>
      <xdr:rowOff>38099</xdr:rowOff>
    </xdr:from>
    <xdr:to>
      <xdr:col>24</xdr:col>
      <xdr:colOff>609599</xdr:colOff>
      <xdr:row>11</xdr:row>
      <xdr:rowOff>259896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CD514A-9CA1-48AE-80EF-62EAA80A26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65314</xdr:colOff>
      <xdr:row>3</xdr:row>
      <xdr:rowOff>57150</xdr:rowOff>
    </xdr:from>
    <xdr:to>
      <xdr:col>17</xdr:col>
      <xdr:colOff>209549</xdr:colOff>
      <xdr:row>11</xdr:row>
      <xdr:rowOff>266020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664740-E455-49C9-907F-791173FDD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228600</xdr:colOff>
      <xdr:row>26</xdr:row>
      <xdr:rowOff>66675</xdr:rowOff>
    </xdr:from>
    <xdr:to>
      <xdr:col>10</xdr:col>
      <xdr:colOff>495300</xdr:colOff>
      <xdr:row>40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00C098-A39A-42F2-B1D9-86BFC19E5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66675</xdr:colOff>
      <xdr:row>26</xdr:row>
      <xdr:rowOff>38100</xdr:rowOff>
    </xdr:from>
    <xdr:to>
      <xdr:col>25</xdr:col>
      <xdr:colOff>9525</xdr:colOff>
      <xdr:row>39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610B0D0-5620-4A96-8C46-2AD165AEC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209551</xdr:colOff>
      <xdr:row>40</xdr:row>
      <xdr:rowOff>123825</xdr:rowOff>
    </xdr:from>
    <xdr:to>
      <xdr:col>10</xdr:col>
      <xdr:colOff>485775</xdr:colOff>
      <xdr:row>54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56A8F18-AF1D-4454-89A2-407601FFA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66675</xdr:colOff>
      <xdr:row>40</xdr:row>
      <xdr:rowOff>123824</xdr:rowOff>
    </xdr:from>
    <xdr:to>
      <xdr:col>25</xdr:col>
      <xdr:colOff>9525</xdr:colOff>
      <xdr:row>54</xdr:row>
      <xdr:rowOff>76199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58FDDE0-93CD-4433-99E9-33DC43151A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ragaz/OneDrive/Work/Smartsheet_Publishing/Work%20in%20Progress/Free%20Estimate%20Templates/IC-Bid-Tabulation-925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Tabulation"/>
      <sheetName val="Bid Tabulation - BLANK"/>
      <sheetName val="- Disclaimer -"/>
    </sheetNames>
    <sheetDataSet>
      <sheetData sheetId="0">
        <row r="158">
          <cell r="E158">
            <v>9.9000000000000005E-2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F78BAE-574A-452F-B31B-F859D1E3B114}" name="Table44" displayName="Table44" ref="B10:O20" totalsRowShown="0" headerRowDxfId="12" dataDxfId="104" headerRowBorderDxfId="105" tableBorderDxfId="103" totalsRowBorderDxfId="102">
  <tableColumns count="14">
    <tableColumn id="1" xr3:uid="{79AEC0DC-8562-43CB-833E-C2CC17C1901E}" name="Deskripsi Item" dataDxfId="101"/>
    <tableColumn id="2" xr3:uid="{11EF269A-2B0A-4299-96C8-3AC63BEE98A1}" name="Kode Barang" dataDxfId="100"/>
    <tableColumn id="3" xr3:uid="{B7095B12-57B1-437C-BD03-4286E5292F6B}" name="Dimensi Barang" dataDxfId="99"/>
    <tableColumn id="4" xr3:uid="{5FB6E218-88B3-4A31-9429-CA9A4CF53179}" name="Kategori" dataDxfId="98"/>
    <tableColumn id="5" xr3:uid="{17FA11BD-1A89-44B1-9457-A3683BD39EE9}" name="Persediaan Awal" dataDxfId="97"/>
    <tableColumn id="6" xr3:uid="{F208D738-475B-4C53-B6EC-22FD7BB5D06C}" name="Batas Minimum Persediaan (Reorder Level)" dataDxfId="43"/>
    <tableColumn id="7" xr3:uid="{A7FB744D-3B5A-4492-92B5-7A048745FBD1}" name="Harga Pokok per Unit (HPP)" dataDxfId="42"/>
    <tableColumn id="8" xr3:uid="{E3B76E46-61F3-4F78-93DA-A4C1A29FBB2C}" name="Markup" dataDxfId="41"/>
    <tableColumn id="9" xr3:uid="{BD76C71E-4F7D-4533-9242-A0E8702B7B75}" name="Harga Jual" dataDxfId="39">
      <calculatedColumnFormula>H11+I11</calculatedColumnFormula>
    </tableColumn>
    <tableColumn id="10" xr3:uid="{C5C39B1D-39DF-4596-A61E-C0FD7D5F03DF}" name="Total Pesanan" dataDxfId="40"/>
    <tableColumn id="11" xr3:uid="{5E427517-619E-4861-969F-4E39C5DB0DEE}" name="Pesanan Tertunda (Belum Terkirim)" dataDxfId="96"/>
    <tableColumn id="12" xr3:uid="{3F8AAE4C-6CA5-46E3-9F83-34E53AEE5DE8}" name="Persediaan Masuk (Barang Datang)" dataDxfId="95"/>
    <tableColumn id="13" xr3:uid="{ACD6CA39-E1D0-495D-B733-11C50F92DAD5}" name="Persediaan Saat Ini" dataDxfId="38"/>
    <tableColumn id="14" xr3:uid="{60B36C74-BAA5-4AC6-826F-0DDA5F6C636E}" name="Nilai Persediaan" dataDxfId="37">
      <calculatedColumnFormula>H11*N11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CAEB59-1933-44EB-A580-254A12237E00}" name="Table446" displayName="Table446" ref="B24:O34" totalsRowShown="0" headerRowDxfId="10" dataDxfId="94" headerRowBorderDxfId="11" tableBorderDxfId="93" totalsRowBorderDxfId="92">
  <tableColumns count="14">
    <tableColumn id="1" xr3:uid="{12FC4A66-05E6-4484-B1FF-314CD2E7D4BB}" name="Deskripsi Item" dataDxfId="91"/>
    <tableColumn id="2" xr3:uid="{412F3DDA-B6D1-47CD-B395-01C0E9B10427}" name="Kode Barang" dataDxfId="90"/>
    <tableColumn id="3" xr3:uid="{28428064-5C96-4480-9FA2-7ED924645B0E}" name="Dimensi Barang" dataDxfId="89"/>
    <tableColumn id="4" xr3:uid="{C731D707-F718-49D0-B2FB-166348BD2292}" name="Kategori" dataDxfId="88"/>
    <tableColumn id="5" xr3:uid="{C302259B-52AE-4954-8E51-93BCA3D211F0}" name="Persediaan Awal" dataDxfId="87"/>
    <tableColumn id="6" xr3:uid="{D667B3AB-B239-4FED-841C-87AD7D470E33}" name="Batas Minimum Persediaan (Reorder Level)" dataDxfId="36"/>
    <tableColumn id="7" xr3:uid="{11500DEC-22C5-424E-A3C2-EFCB089FA390}" name="Harga Pokok per Unit (HPP)" dataDxfId="35"/>
    <tableColumn id="8" xr3:uid="{4D2B26F8-C9C3-40CE-9DAC-ADD3A0EE9C14}" name="Markup" dataDxfId="34"/>
    <tableColumn id="9" xr3:uid="{F1C3A060-E717-4576-8472-477F2D1373EE}" name="Harga Jual" dataDxfId="32">
      <calculatedColumnFormula>H25+I25</calculatedColumnFormula>
    </tableColumn>
    <tableColumn id="10" xr3:uid="{ABB0C68C-3309-4CD5-A308-57D9B5EA2132}" name="Total Pesanan" dataDxfId="33"/>
    <tableColumn id="11" xr3:uid="{7B1476C4-83E6-4C52-89CF-5707F1A3A12B}" name="Pesanan Tertunda (Belum Terkirim)" dataDxfId="86"/>
    <tableColumn id="12" xr3:uid="{AC9BD83A-6723-409D-A931-E1184F63610A}" name="Persediaan Masuk (Barang Datang)" dataDxfId="85"/>
    <tableColumn id="13" xr3:uid="{23BE7B2F-C2E5-4BBC-ABA1-C570BD0C680A}" name="Persediaan Saat Ini" dataDxfId="84"/>
    <tableColumn id="14" xr3:uid="{58A15324-FDD7-4172-95E0-3C6C0310CBB4}" name="Nilai Persediaan" dataDxfId="31">
      <calculatedColumnFormula>H25*N25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4BC8FA4-0B95-4E55-A08D-DF4E843A5F7B}" name="Table4467" displayName="Table4467" ref="B38:O48" totalsRowShown="0" headerRowDxfId="8" dataDxfId="83" headerRowBorderDxfId="9" tableBorderDxfId="82" totalsRowBorderDxfId="81">
  <tableColumns count="14">
    <tableColumn id="1" xr3:uid="{8B5083C9-F99B-4949-ACB0-5B6C4B29D9AC}" name="Deskripsi Item" dataDxfId="80"/>
    <tableColumn id="2" xr3:uid="{A2354752-AD49-48EC-A47C-E1719A97E045}" name="Kode Barang" dataDxfId="79"/>
    <tableColumn id="3" xr3:uid="{F0F4540D-F975-4CC4-93B8-7008E8E7C8AE}" name="Dimensi Barang" dataDxfId="78"/>
    <tableColumn id="4" xr3:uid="{26BFD23B-04B9-4082-AAC7-45E83D6E11F8}" name="Kategori" dataDxfId="77"/>
    <tableColumn id="5" xr3:uid="{B12BDEA1-3D48-4B95-AEEC-37EC8C60501C}" name="Persediaan Awal" dataDxfId="76"/>
    <tableColumn id="6" xr3:uid="{C9D4C554-15F1-4A57-9800-9F059E93E6D8}" name="Batas Minimum Persediaan (Reorder Level)" dataDxfId="30"/>
    <tableColumn id="7" xr3:uid="{90186269-34AE-4E39-8F39-82D3C828BB1F}" name="Harga Pokok per Unit (HPP)" dataDxfId="29"/>
    <tableColumn id="8" xr3:uid="{9EC81D8F-893B-49E6-BE68-B01D961B3535}" name="Markup" dataDxfId="28"/>
    <tableColumn id="9" xr3:uid="{8AD05E5A-C2AE-4DE8-9A21-CF6788C115CE}" name="Harga Jual" dataDxfId="26">
      <calculatedColumnFormula>H39+I39</calculatedColumnFormula>
    </tableColumn>
    <tableColumn id="10" xr3:uid="{C078696D-3B3C-4B45-A94C-2F4CB504FCC5}" name="Total Pesanan" dataDxfId="27"/>
    <tableColumn id="11" xr3:uid="{4DCAEEDE-3B45-445A-8E6F-BF2545B22A62}" name="Pesanan Tertunda (Belum Terkirim)" dataDxfId="75"/>
    <tableColumn id="12" xr3:uid="{736F7600-7391-49BF-858A-38D6944BC0C6}" name="Persediaan Masuk (Barang Datang)" dataDxfId="74"/>
    <tableColumn id="13" xr3:uid="{E21DD100-4A27-47C0-8BFE-4B1BF502C2BC}" name="Persediaan Saat Ini" dataDxfId="73"/>
    <tableColumn id="14" xr3:uid="{BCC3A0D9-354B-48B0-833F-57B85D7F08B5}" name="Nilai Persediaan" dataDxfId="25">
      <calculatedColumnFormula>H39*N39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1ED69E-EE47-4EFC-800D-071241CBA460}" name="Table4468" displayName="Table4468" ref="B52:O62" totalsRowShown="0" headerRowDxfId="6" dataDxfId="72" headerRowBorderDxfId="7" tableBorderDxfId="71" totalsRowBorderDxfId="70">
  <tableColumns count="14">
    <tableColumn id="1" xr3:uid="{CF8AAD36-E43A-4A38-905A-575E2F564804}" name="Deskripsi Item" dataDxfId="69"/>
    <tableColumn id="2" xr3:uid="{CDDB4D21-DC58-4A8A-97CC-EC62768227AF}" name="Kode Barang" dataDxfId="68"/>
    <tableColumn id="3" xr3:uid="{E0FD5AD2-026C-4116-B9D3-883FFA7087F6}" name="Dimensi Barang" dataDxfId="67"/>
    <tableColumn id="4" xr3:uid="{3934C2D9-1783-47F9-9BC3-D9F74CB9056F}" name="Kategori" dataDxfId="66"/>
    <tableColumn id="5" xr3:uid="{5219D639-456A-43BC-B549-007900772563}" name="Persediaan Awal" dataDxfId="65"/>
    <tableColumn id="6" xr3:uid="{D0769982-989D-403F-AF0E-93E21E434C3E}" name="Batas Minimum Persediaan (Reorder Level)" dataDxfId="24"/>
    <tableColumn id="7" xr3:uid="{CFEDD2D4-BBA8-4799-B056-A74EF169858E}" name="Harga Pokok per Unit (HPP)" dataDxfId="23"/>
    <tableColumn id="8" xr3:uid="{8A630212-E813-4758-A8D5-A5A7D0E9EA79}" name="Markup" dataDxfId="22"/>
    <tableColumn id="9" xr3:uid="{0D398599-6682-41FD-B49B-63EFF1831199}" name="Harga Jual" dataDxfId="20">
      <calculatedColumnFormula>H53+I53</calculatedColumnFormula>
    </tableColumn>
    <tableColumn id="10" xr3:uid="{2EFB2BB2-3FF7-4112-B12C-DD29B9364F8A}" name="Total Pesanan" dataDxfId="21"/>
    <tableColumn id="11" xr3:uid="{7E28B1E9-F2C0-4D0E-95C1-D891CDF540D3}" name="Pesanan Tertunda (Belum Terkirim)" dataDxfId="64"/>
    <tableColumn id="12" xr3:uid="{F981F6FF-2609-436F-AFD5-1A995058AB10}" name="Persediaan Masuk (Barang Datang)" dataDxfId="63"/>
    <tableColumn id="13" xr3:uid="{943384C4-87F3-43CD-85FC-56B636758A0E}" name="Persediaan Saat Ini" dataDxfId="62"/>
    <tableColumn id="14" xr3:uid="{F89FA6F2-4971-4951-ABD0-6045DA0ADEB7}" name="Nilai Persediaan" dataDxfId="19">
      <calculatedColumnFormula>H53*N53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EC146-973E-46C2-9817-CD8EAF6AC63E}">
  <sheetPr>
    <tabColor rgb="FFF1F488"/>
    <pageSetUpPr fitToPage="1"/>
  </sheetPr>
  <dimension ref="B1:E26"/>
  <sheetViews>
    <sheetView showGridLines="0" tabSelected="1" zoomScale="55" zoomScaleNormal="55" workbookViewId="0">
      <pane ySplit="1" topLeftCell="A2" activePane="bottomLeft" state="frozen"/>
      <selection pane="bottomLeft" activeCell="T1" sqref="T1"/>
    </sheetView>
  </sheetViews>
  <sheetFormatPr defaultColWidth="8.81640625" defaultRowHeight="14.5" x14ac:dyDescent="0.35"/>
  <cols>
    <col min="1" max="1" width="3.6328125" customWidth="1"/>
    <col min="2" max="2" width="35.6328125" customWidth="1"/>
    <col min="3" max="3" width="12.6328125" customWidth="1"/>
    <col min="4" max="4" width="40.6328125" customWidth="1"/>
    <col min="5" max="5" width="3.6328125" customWidth="1"/>
    <col min="26" max="26" width="3.6328125" customWidth="1"/>
  </cols>
  <sheetData>
    <row r="1" spans="2:5" ht="50.25" customHeight="1" x14ac:dyDescent="0.35">
      <c r="B1" s="15" t="s">
        <v>30</v>
      </c>
      <c r="C1" s="15"/>
    </row>
    <row r="2" spans="2:5" ht="22" customHeight="1" x14ac:dyDescent="0.4">
      <c r="B2" s="25" t="s">
        <v>31</v>
      </c>
      <c r="C2" s="25"/>
    </row>
    <row r="3" spans="2:5" ht="15" thickBot="1" x14ac:dyDescent="0.4"/>
    <row r="4" spans="2:5" ht="60" customHeight="1" thickTop="1" thickBot="1" x14ac:dyDescent="0.4">
      <c r="B4" s="47" t="s">
        <v>32</v>
      </c>
      <c r="C4" s="48"/>
      <c r="D4" s="78">
        <f>SUM(Produk!H4:H7)</f>
        <v>6220000</v>
      </c>
    </row>
    <row r="5" spans="2:5" ht="36" customHeight="1" thickTop="1" thickBot="1" x14ac:dyDescent="0.5">
      <c r="B5" s="27" t="s">
        <v>33</v>
      </c>
      <c r="C5" s="27"/>
    </row>
    <row r="6" spans="2:5" s="38" customFormat="1" ht="25" customHeight="1" thickTop="1" x14ac:dyDescent="1.05">
      <c r="B6" s="49" t="s">
        <v>34</v>
      </c>
      <c r="C6" s="42">
        <v>1</v>
      </c>
      <c r="D6" s="43" t="str">
        <f>Penjualan!L4</f>
        <v>Item 5</v>
      </c>
      <c r="E6" s="39"/>
    </row>
    <row r="7" spans="2:5" s="38" customFormat="1" ht="25" customHeight="1" x14ac:dyDescent="1.05">
      <c r="B7" s="50"/>
      <c r="C7" s="40">
        <v>2</v>
      </c>
      <c r="D7" s="44" t="str">
        <f>Penjualan!L5</f>
        <v>Item 8</v>
      </c>
      <c r="E7" s="39"/>
    </row>
    <row r="8" spans="2:5" s="38" customFormat="1" ht="25" customHeight="1" x14ac:dyDescent="1.05">
      <c r="B8" s="50"/>
      <c r="C8" s="40">
        <v>3</v>
      </c>
      <c r="D8" s="44" t="str">
        <f>Penjualan!L6</f>
        <v>Item 2</v>
      </c>
      <c r="E8" s="39"/>
    </row>
    <row r="9" spans="2:5" s="38" customFormat="1" ht="25" customHeight="1" x14ac:dyDescent="1.05">
      <c r="B9" s="50"/>
      <c r="C9" s="40">
        <v>4</v>
      </c>
      <c r="D9" s="44" t="str">
        <f>Penjualan!L7</f>
        <v>Item 6</v>
      </c>
      <c r="E9" s="39"/>
    </row>
    <row r="10" spans="2:5" ht="25" customHeight="1" thickBot="1" x14ac:dyDescent="0.4">
      <c r="B10" s="51"/>
      <c r="C10" s="41">
        <v>5</v>
      </c>
      <c r="D10" s="45" t="str">
        <f>Penjualan!L8</f>
        <v>Item 7</v>
      </c>
      <c r="E10" s="39"/>
    </row>
    <row r="11" spans="2:5" ht="25" customHeight="1" thickTop="1" x14ac:dyDescent="0.35">
      <c r="B11" s="49" t="s">
        <v>35</v>
      </c>
      <c r="C11" s="40">
        <v>1</v>
      </c>
      <c r="D11" s="43" t="str">
        <f>Penjualan!O4</f>
        <v>Item 7</v>
      </c>
    </row>
    <row r="12" spans="2:5" ht="25" customHeight="1" x14ac:dyDescent="0.35">
      <c r="B12" s="50"/>
      <c r="C12" s="40">
        <v>2</v>
      </c>
      <c r="D12" s="44" t="str">
        <f>Penjualan!O5</f>
        <v>Item 8</v>
      </c>
    </row>
    <row r="13" spans="2:5" ht="25" customHeight="1" x14ac:dyDescent="0.35">
      <c r="B13" s="50"/>
      <c r="C13" s="40">
        <v>3</v>
      </c>
      <c r="D13" s="44" t="str">
        <f>Penjualan!O6</f>
        <v>Item 5</v>
      </c>
    </row>
    <row r="14" spans="2:5" ht="25" customHeight="1" x14ac:dyDescent="0.35">
      <c r="B14" s="50"/>
      <c r="C14" s="40">
        <v>4</v>
      </c>
      <c r="D14" s="44" t="str">
        <f>Penjualan!O7</f>
        <v>Item 6</v>
      </c>
    </row>
    <row r="15" spans="2:5" ht="25" customHeight="1" thickBot="1" x14ac:dyDescent="0.4">
      <c r="B15" s="51"/>
      <c r="C15" s="41">
        <v>5</v>
      </c>
      <c r="D15" s="45" t="str">
        <f>Penjualan!O8</f>
        <v>Item 10</v>
      </c>
    </row>
    <row r="16" spans="2:5" ht="25" customHeight="1" thickTop="1" x14ac:dyDescent="0.35">
      <c r="B16" s="49" t="s">
        <v>36</v>
      </c>
      <c r="C16" s="40">
        <v>1</v>
      </c>
      <c r="D16" s="43" t="str">
        <f>Penjualan!R4</f>
        <v>Item 1</v>
      </c>
    </row>
    <row r="17" spans="2:4" ht="25" customHeight="1" x14ac:dyDescent="0.35">
      <c r="B17" s="50"/>
      <c r="C17" s="40">
        <v>2</v>
      </c>
      <c r="D17" s="44" t="str">
        <f>Penjualan!R5</f>
        <v>Item 2</v>
      </c>
    </row>
    <row r="18" spans="2:4" ht="25" customHeight="1" x14ac:dyDescent="0.35">
      <c r="B18" s="50"/>
      <c r="C18" s="40">
        <v>3</v>
      </c>
      <c r="D18" s="44" t="str">
        <f>Penjualan!R6</f>
        <v>Item 6</v>
      </c>
    </row>
    <row r="19" spans="2:4" ht="25" customHeight="1" x14ac:dyDescent="0.35">
      <c r="B19" s="50"/>
      <c r="C19" s="40">
        <v>4</v>
      </c>
      <c r="D19" s="44" t="str">
        <f>Penjualan!R7</f>
        <v>Item 5</v>
      </c>
    </row>
    <row r="20" spans="2:4" ht="25" customHeight="1" thickBot="1" x14ac:dyDescent="0.4">
      <c r="B20" s="51"/>
      <c r="C20" s="41">
        <v>5</v>
      </c>
      <c r="D20" s="45" t="str">
        <f>Penjualan!R8</f>
        <v>Item 7</v>
      </c>
    </row>
    <row r="21" spans="2:4" ht="25" customHeight="1" thickTop="1" x14ac:dyDescent="0.35">
      <c r="B21" s="49" t="s">
        <v>37</v>
      </c>
      <c r="C21" s="40">
        <v>1</v>
      </c>
      <c r="D21" s="43" t="str">
        <f>Penjualan!U4</f>
        <v>Item 8</v>
      </c>
    </row>
    <row r="22" spans="2:4" ht="25" customHeight="1" x14ac:dyDescent="0.35">
      <c r="B22" s="50"/>
      <c r="C22" s="40">
        <v>2</v>
      </c>
      <c r="D22" s="44" t="str">
        <f>Penjualan!U5</f>
        <v>Item 6</v>
      </c>
    </row>
    <row r="23" spans="2:4" ht="25" customHeight="1" x14ac:dyDescent="0.35">
      <c r="B23" s="50"/>
      <c r="C23" s="40">
        <v>3</v>
      </c>
      <c r="D23" s="44" t="str">
        <f>Penjualan!U6</f>
        <v>Item 2</v>
      </c>
    </row>
    <row r="24" spans="2:4" ht="25" customHeight="1" x14ac:dyDescent="0.35">
      <c r="B24" s="50"/>
      <c r="C24" s="40">
        <v>4</v>
      </c>
      <c r="D24" s="44" t="str">
        <f>Penjualan!U7</f>
        <v>Item 2</v>
      </c>
    </row>
    <row r="25" spans="2:4" ht="25" customHeight="1" thickBot="1" x14ac:dyDescent="0.4">
      <c r="B25" s="51"/>
      <c r="C25" s="41">
        <v>5</v>
      </c>
      <c r="D25" s="45" t="str">
        <f>Penjualan!U8</f>
        <v>Item 10</v>
      </c>
    </row>
    <row r="26" spans="2:4" ht="15" thickTop="1" x14ac:dyDescent="0.35"/>
  </sheetData>
  <mergeCells count="5">
    <mergeCell ref="B4:C4"/>
    <mergeCell ref="B6:B10"/>
    <mergeCell ref="B11:B15"/>
    <mergeCell ref="B16:B20"/>
    <mergeCell ref="B21:B25"/>
  </mergeCells>
  <pageMargins left="0.7" right="0.7" top="0.75" bottom="0.75" header="0.3" footer="0.3"/>
  <pageSetup scale="44" fitToHeight="0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5E40A-47B7-4F2E-AAD1-512FED0FAFE0}">
  <sheetPr>
    <tabColor theme="9" tint="0.79998168889431442"/>
    <pageSetUpPr fitToPage="1"/>
  </sheetPr>
  <dimension ref="B1:O63"/>
  <sheetViews>
    <sheetView showGridLines="0" zoomScale="55" zoomScaleNormal="55" workbookViewId="0">
      <selection activeCell="I4" sqref="I4"/>
    </sheetView>
  </sheetViews>
  <sheetFormatPr defaultColWidth="8.81640625" defaultRowHeight="14.5" x14ac:dyDescent="0.35"/>
  <cols>
    <col min="1" max="1" width="3.6328125" customWidth="1"/>
    <col min="2" max="2" width="22.6328125" customWidth="1"/>
    <col min="3" max="6" width="18.6328125" customWidth="1"/>
    <col min="7" max="7" width="29.7265625" customWidth="1"/>
    <col min="8" max="8" width="26.1796875" customWidth="1"/>
    <col min="9" max="13" width="18.6328125" customWidth="1"/>
    <col min="14" max="14" width="15.36328125" customWidth="1"/>
    <col min="15" max="15" width="18.6328125" customWidth="1"/>
    <col min="16" max="16" width="3.6328125" customWidth="1"/>
  </cols>
  <sheetData>
    <row r="1" spans="2:15" ht="59.25" customHeight="1" x14ac:dyDescent="0.8">
      <c r="B1" s="26" t="s">
        <v>38</v>
      </c>
    </row>
    <row r="2" spans="2:15" ht="39" customHeight="1" x14ac:dyDescent="0.45">
      <c r="B2" s="27" t="s">
        <v>61</v>
      </c>
      <c r="F2" s="27" t="s">
        <v>62</v>
      </c>
    </row>
    <row r="3" spans="2:15" ht="22" customHeight="1" x14ac:dyDescent="0.35">
      <c r="B3" s="28" t="s">
        <v>40</v>
      </c>
      <c r="F3" s="28" t="s">
        <v>40</v>
      </c>
    </row>
    <row r="4" spans="2:15" ht="35.25" customHeight="1" x14ac:dyDescent="0.35">
      <c r="B4" s="53" t="s">
        <v>34</v>
      </c>
      <c r="C4" s="54"/>
      <c r="D4" s="24">
        <f>SUM(Table44[Persediaan Masuk (Barang Datang)])</f>
        <v>42</v>
      </c>
      <c r="F4" s="53" t="s">
        <v>34</v>
      </c>
      <c r="G4" s="54"/>
      <c r="H4" s="63">
        <f>O21</f>
        <v>1555000</v>
      </c>
    </row>
    <row r="5" spans="2:15" ht="35.25" customHeight="1" x14ac:dyDescent="0.35">
      <c r="B5" s="53" t="s">
        <v>35</v>
      </c>
      <c r="C5" s="54"/>
      <c r="D5" s="24">
        <f>SUM(Table446[Persediaan Masuk (Barang Datang)])</f>
        <v>63</v>
      </c>
      <c r="F5" s="53" t="s">
        <v>35</v>
      </c>
      <c r="G5" s="54"/>
      <c r="H5" s="63">
        <f>O35</f>
        <v>1555000</v>
      </c>
    </row>
    <row r="6" spans="2:15" ht="35.25" customHeight="1" x14ac:dyDescent="0.35">
      <c r="B6" s="53" t="s">
        <v>36</v>
      </c>
      <c r="C6" s="54"/>
      <c r="D6" s="24">
        <f>SUM(Table4467[Persediaan Masuk (Barang Datang)])</f>
        <v>75</v>
      </c>
      <c r="F6" s="53" t="s">
        <v>36</v>
      </c>
      <c r="G6" s="54"/>
      <c r="H6" s="63">
        <f>O49</f>
        <v>1555000</v>
      </c>
    </row>
    <row r="7" spans="2:15" ht="35.25" customHeight="1" x14ac:dyDescent="0.35">
      <c r="B7" s="53" t="s">
        <v>37</v>
      </c>
      <c r="C7" s="54"/>
      <c r="D7" s="24">
        <f>SUM(Table4468[Persediaan Masuk (Barang Datang)])</f>
        <v>57</v>
      </c>
      <c r="F7" s="53" t="s">
        <v>37</v>
      </c>
      <c r="G7" s="54"/>
      <c r="H7" s="63">
        <f>O63</f>
        <v>1555000</v>
      </c>
    </row>
    <row r="9" spans="2:15" ht="45" customHeight="1" x14ac:dyDescent="0.35">
      <c r="B9" s="76" t="s">
        <v>34</v>
      </c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</row>
    <row r="10" spans="2:15" ht="35.25" customHeight="1" x14ac:dyDescent="0.35">
      <c r="B10" s="16" t="s">
        <v>42</v>
      </c>
      <c r="C10" s="16" t="s">
        <v>43</v>
      </c>
      <c r="D10" s="16" t="s">
        <v>44</v>
      </c>
      <c r="E10" s="16" t="s">
        <v>45</v>
      </c>
      <c r="F10" s="17" t="s">
        <v>64</v>
      </c>
      <c r="G10" s="17" t="s">
        <v>65</v>
      </c>
      <c r="H10" s="17" t="s">
        <v>46</v>
      </c>
      <c r="I10" s="17" t="s">
        <v>15</v>
      </c>
      <c r="J10" s="17" t="s">
        <v>47</v>
      </c>
      <c r="K10" s="17" t="s">
        <v>48</v>
      </c>
      <c r="L10" s="17" t="s">
        <v>49</v>
      </c>
      <c r="M10" s="17" t="s">
        <v>63</v>
      </c>
      <c r="N10" s="17" t="s">
        <v>66</v>
      </c>
      <c r="O10" s="17" t="s">
        <v>50</v>
      </c>
    </row>
    <row r="11" spans="2:15" ht="22" customHeight="1" x14ac:dyDescent="0.35">
      <c r="B11" s="1" t="s">
        <v>0</v>
      </c>
      <c r="C11" s="1"/>
      <c r="D11" s="3"/>
      <c r="E11" s="2" t="s">
        <v>10</v>
      </c>
      <c r="F11" s="4">
        <v>0</v>
      </c>
      <c r="G11" s="5">
        <v>15</v>
      </c>
      <c r="H11" s="64">
        <v>2000</v>
      </c>
      <c r="I11" s="65">
        <v>1000</v>
      </c>
      <c r="J11" s="66">
        <f>H11+I11</f>
        <v>3000</v>
      </c>
      <c r="K11" s="3">
        <v>8</v>
      </c>
      <c r="L11" s="3">
        <v>1</v>
      </c>
      <c r="M11" s="3">
        <v>10</v>
      </c>
      <c r="N11" s="3">
        <v>5</v>
      </c>
      <c r="O11" s="66">
        <f>H11*N11</f>
        <v>10000</v>
      </c>
    </row>
    <row r="12" spans="2:15" ht="22" customHeight="1" x14ac:dyDescent="0.35">
      <c r="B12" s="1" t="s">
        <v>1</v>
      </c>
      <c r="C12" s="1"/>
      <c r="D12" s="3"/>
      <c r="E12" s="2" t="s">
        <v>11</v>
      </c>
      <c r="F12" s="4">
        <v>0</v>
      </c>
      <c r="G12" s="10">
        <v>14</v>
      </c>
      <c r="H12" s="67">
        <v>7500</v>
      </c>
      <c r="I12" s="67">
        <v>2500</v>
      </c>
      <c r="J12" s="66">
        <f t="shared" ref="J12:J20" si="0">H12+I12</f>
        <v>10000</v>
      </c>
      <c r="K12" s="12">
        <v>10</v>
      </c>
      <c r="L12" s="12">
        <v>2</v>
      </c>
      <c r="M12" s="12">
        <v>10</v>
      </c>
      <c r="N12" s="12">
        <v>16</v>
      </c>
      <c r="O12" s="66">
        <f t="shared" ref="O12:O20" si="1">H12*N12</f>
        <v>120000</v>
      </c>
    </row>
    <row r="13" spans="2:15" ht="22" customHeight="1" x14ac:dyDescent="0.35">
      <c r="B13" s="11" t="s">
        <v>2</v>
      </c>
      <c r="C13" s="11"/>
      <c r="D13" s="12"/>
      <c r="E13" s="13" t="s">
        <v>12</v>
      </c>
      <c r="F13" s="4">
        <v>0</v>
      </c>
      <c r="G13" s="10">
        <v>22</v>
      </c>
      <c r="H13" s="67">
        <v>10000</v>
      </c>
      <c r="I13" s="67">
        <v>3000</v>
      </c>
      <c r="J13" s="66">
        <f t="shared" si="0"/>
        <v>13000</v>
      </c>
      <c r="K13" s="12">
        <v>5</v>
      </c>
      <c r="L13" s="12">
        <v>1</v>
      </c>
      <c r="M13" s="12">
        <v>15</v>
      </c>
      <c r="N13" s="12">
        <v>25</v>
      </c>
      <c r="O13" s="66">
        <f t="shared" si="1"/>
        <v>250000</v>
      </c>
    </row>
    <row r="14" spans="2:15" ht="22" customHeight="1" x14ac:dyDescent="0.35">
      <c r="B14" s="11" t="s">
        <v>3</v>
      </c>
      <c r="C14" s="11"/>
      <c r="D14" s="12"/>
      <c r="E14" s="13" t="s">
        <v>13</v>
      </c>
      <c r="F14" s="4">
        <v>0</v>
      </c>
      <c r="G14" s="10">
        <v>35</v>
      </c>
      <c r="H14" s="67">
        <v>15000</v>
      </c>
      <c r="I14" s="67">
        <v>5000</v>
      </c>
      <c r="J14" s="66">
        <f t="shared" si="0"/>
        <v>20000</v>
      </c>
      <c r="K14" s="12">
        <v>12</v>
      </c>
      <c r="L14" s="12">
        <v>1</v>
      </c>
      <c r="M14" s="12">
        <v>5</v>
      </c>
      <c r="N14" s="12">
        <v>30</v>
      </c>
      <c r="O14" s="66">
        <f t="shared" si="1"/>
        <v>450000</v>
      </c>
    </row>
    <row r="15" spans="2:15" ht="22" customHeight="1" x14ac:dyDescent="0.35">
      <c r="B15" s="11" t="s">
        <v>4</v>
      </c>
      <c r="C15" s="11"/>
      <c r="D15" s="12"/>
      <c r="E15" s="13" t="s">
        <v>14</v>
      </c>
      <c r="F15" s="4">
        <v>0</v>
      </c>
      <c r="G15" s="10">
        <v>15</v>
      </c>
      <c r="H15" s="67">
        <v>29000</v>
      </c>
      <c r="I15" s="67">
        <v>13000</v>
      </c>
      <c r="J15" s="66">
        <f t="shared" si="0"/>
        <v>42000</v>
      </c>
      <c r="K15" s="12">
        <v>4</v>
      </c>
      <c r="L15" s="12">
        <v>3</v>
      </c>
      <c r="M15" s="12">
        <v>2</v>
      </c>
      <c r="N15" s="12">
        <v>25</v>
      </c>
      <c r="O15" s="66">
        <f t="shared" si="1"/>
        <v>725000</v>
      </c>
    </row>
    <row r="16" spans="2:15" ht="22" customHeight="1" x14ac:dyDescent="0.35">
      <c r="B16" s="11"/>
      <c r="C16" s="11"/>
      <c r="D16" s="12"/>
      <c r="E16" s="13"/>
      <c r="F16" s="4"/>
      <c r="G16" s="10"/>
      <c r="H16" s="67"/>
      <c r="I16" s="67"/>
      <c r="J16" s="66">
        <f t="shared" si="0"/>
        <v>0</v>
      </c>
      <c r="K16" s="12"/>
      <c r="L16" s="12"/>
      <c r="M16" s="12"/>
      <c r="N16" s="12"/>
      <c r="O16" s="66">
        <f t="shared" si="1"/>
        <v>0</v>
      </c>
    </row>
    <row r="17" spans="2:15" ht="22" customHeight="1" x14ac:dyDescent="0.35">
      <c r="B17" s="11"/>
      <c r="C17" s="11"/>
      <c r="D17" s="12"/>
      <c r="E17" s="13"/>
      <c r="F17" s="4"/>
      <c r="G17" s="10"/>
      <c r="H17" s="67"/>
      <c r="I17" s="67"/>
      <c r="J17" s="66">
        <f t="shared" si="0"/>
        <v>0</v>
      </c>
      <c r="K17" s="12"/>
      <c r="L17" s="12"/>
      <c r="M17" s="12"/>
      <c r="N17" s="12"/>
      <c r="O17" s="66">
        <f t="shared" si="1"/>
        <v>0</v>
      </c>
    </row>
    <row r="18" spans="2:15" ht="22" customHeight="1" x14ac:dyDescent="0.35">
      <c r="B18" s="1"/>
      <c r="C18" s="1"/>
      <c r="D18" s="3"/>
      <c r="E18" s="2"/>
      <c r="F18" s="4"/>
      <c r="G18" s="10"/>
      <c r="H18" s="67"/>
      <c r="I18" s="67"/>
      <c r="J18" s="66">
        <f t="shared" si="0"/>
        <v>0</v>
      </c>
      <c r="K18" s="12"/>
      <c r="L18" s="12"/>
      <c r="M18" s="12"/>
      <c r="N18" s="12"/>
      <c r="O18" s="66">
        <f t="shared" si="1"/>
        <v>0</v>
      </c>
    </row>
    <row r="19" spans="2:15" ht="22" customHeight="1" x14ac:dyDescent="0.35">
      <c r="B19" s="11"/>
      <c r="C19" s="11"/>
      <c r="D19" s="12"/>
      <c r="E19" s="13"/>
      <c r="F19" s="4"/>
      <c r="G19" s="10"/>
      <c r="H19" s="67"/>
      <c r="I19" s="67"/>
      <c r="J19" s="66">
        <f t="shared" si="0"/>
        <v>0</v>
      </c>
      <c r="K19" s="12"/>
      <c r="L19" s="12"/>
      <c r="M19" s="12"/>
      <c r="N19" s="12"/>
      <c r="O19" s="66">
        <f t="shared" si="1"/>
        <v>0</v>
      </c>
    </row>
    <row r="20" spans="2:15" ht="22" customHeight="1" thickBot="1" x14ac:dyDescent="0.4">
      <c r="B20" s="6"/>
      <c r="C20" s="6"/>
      <c r="D20" s="9"/>
      <c r="E20" s="7"/>
      <c r="F20" s="8"/>
      <c r="G20" s="31"/>
      <c r="H20" s="68"/>
      <c r="I20" s="68"/>
      <c r="J20" s="66">
        <f t="shared" si="0"/>
        <v>0</v>
      </c>
      <c r="K20" s="14"/>
      <c r="L20" s="14"/>
      <c r="M20" s="14"/>
      <c r="N20" s="14"/>
      <c r="O20" s="66">
        <f t="shared" si="1"/>
        <v>0</v>
      </c>
    </row>
    <row r="21" spans="2:15" ht="32.25" customHeight="1" thickTop="1" x14ac:dyDescent="0.35">
      <c r="B21" s="55" t="s">
        <v>67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69">
        <f>SUM(O11:O20)</f>
        <v>1555000</v>
      </c>
    </row>
    <row r="23" spans="2:15" ht="45" customHeight="1" x14ac:dyDescent="0.35">
      <c r="B23" s="52" t="s">
        <v>35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</row>
    <row r="24" spans="2:15" ht="35.25" customHeight="1" x14ac:dyDescent="0.35">
      <c r="B24" s="16" t="s">
        <v>42</v>
      </c>
      <c r="C24" s="16" t="s">
        <v>43</v>
      </c>
      <c r="D24" s="16" t="s">
        <v>44</v>
      </c>
      <c r="E24" s="16" t="s">
        <v>45</v>
      </c>
      <c r="F24" s="17" t="s">
        <v>64</v>
      </c>
      <c r="G24" s="17" t="s">
        <v>65</v>
      </c>
      <c r="H24" s="17" t="s">
        <v>46</v>
      </c>
      <c r="I24" s="17" t="s">
        <v>15</v>
      </c>
      <c r="J24" s="17" t="s">
        <v>47</v>
      </c>
      <c r="K24" s="17" t="s">
        <v>48</v>
      </c>
      <c r="L24" s="17" t="s">
        <v>49</v>
      </c>
      <c r="M24" s="17" t="s">
        <v>63</v>
      </c>
      <c r="N24" s="17" t="s">
        <v>66</v>
      </c>
      <c r="O24" s="17" t="s">
        <v>50</v>
      </c>
    </row>
    <row r="25" spans="2:15" ht="22" customHeight="1" x14ac:dyDescent="0.35">
      <c r="B25" s="1" t="s">
        <v>0</v>
      </c>
      <c r="C25" s="1"/>
      <c r="D25" s="3"/>
      <c r="E25" s="2" t="s">
        <v>10</v>
      </c>
      <c r="F25" s="4">
        <v>0</v>
      </c>
      <c r="G25" s="5">
        <v>15</v>
      </c>
      <c r="H25" s="64">
        <v>2000</v>
      </c>
      <c r="I25" s="65">
        <v>1000</v>
      </c>
      <c r="J25" s="66">
        <f>H25+I25</f>
        <v>3000</v>
      </c>
      <c r="K25" s="3">
        <v>8</v>
      </c>
      <c r="L25" s="3">
        <v>1</v>
      </c>
      <c r="M25" s="3">
        <v>22</v>
      </c>
      <c r="N25" s="3">
        <v>5</v>
      </c>
      <c r="O25" s="66">
        <f>H25*N25</f>
        <v>10000</v>
      </c>
    </row>
    <row r="26" spans="2:15" ht="22" customHeight="1" x14ac:dyDescent="0.35">
      <c r="B26" s="1" t="s">
        <v>1</v>
      </c>
      <c r="C26" s="1"/>
      <c r="D26" s="3"/>
      <c r="E26" s="2" t="s">
        <v>11</v>
      </c>
      <c r="F26" s="4">
        <v>0</v>
      </c>
      <c r="G26" s="10">
        <v>14</v>
      </c>
      <c r="H26" s="67">
        <v>7500</v>
      </c>
      <c r="I26" s="67">
        <v>2500</v>
      </c>
      <c r="J26" s="66">
        <f t="shared" ref="J26:J34" si="2">H26+I26</f>
        <v>10000</v>
      </c>
      <c r="K26" s="12">
        <v>10</v>
      </c>
      <c r="L26" s="12">
        <v>2</v>
      </c>
      <c r="M26" s="12">
        <v>32</v>
      </c>
      <c r="N26" s="12">
        <v>16</v>
      </c>
      <c r="O26" s="66">
        <f t="shared" ref="O26:O34" si="3">H26*N26</f>
        <v>120000</v>
      </c>
    </row>
    <row r="27" spans="2:15" ht="22" customHeight="1" x14ac:dyDescent="0.35">
      <c r="B27" s="11" t="s">
        <v>2</v>
      </c>
      <c r="C27" s="11"/>
      <c r="D27" s="12"/>
      <c r="E27" s="13" t="s">
        <v>12</v>
      </c>
      <c r="F27" s="4">
        <v>0</v>
      </c>
      <c r="G27" s="10">
        <v>22</v>
      </c>
      <c r="H27" s="67">
        <v>10000</v>
      </c>
      <c r="I27" s="67">
        <v>3000</v>
      </c>
      <c r="J27" s="66">
        <f t="shared" si="2"/>
        <v>13000</v>
      </c>
      <c r="K27" s="12">
        <v>5</v>
      </c>
      <c r="L27" s="12">
        <v>1</v>
      </c>
      <c r="M27" s="12">
        <v>6</v>
      </c>
      <c r="N27" s="12">
        <v>25</v>
      </c>
      <c r="O27" s="66">
        <f t="shared" si="3"/>
        <v>250000</v>
      </c>
    </row>
    <row r="28" spans="2:15" ht="22" customHeight="1" x14ac:dyDescent="0.35">
      <c r="B28" s="11" t="s">
        <v>3</v>
      </c>
      <c r="C28" s="11"/>
      <c r="D28" s="12"/>
      <c r="E28" s="13" t="s">
        <v>13</v>
      </c>
      <c r="F28" s="4">
        <v>0</v>
      </c>
      <c r="G28" s="10">
        <v>35</v>
      </c>
      <c r="H28" s="67">
        <v>15000</v>
      </c>
      <c r="I28" s="67">
        <v>5000</v>
      </c>
      <c r="J28" s="66">
        <f t="shared" si="2"/>
        <v>20000</v>
      </c>
      <c r="K28" s="12">
        <v>12</v>
      </c>
      <c r="L28" s="12">
        <v>1</v>
      </c>
      <c r="M28" s="12">
        <v>3</v>
      </c>
      <c r="N28" s="12">
        <v>30</v>
      </c>
      <c r="O28" s="66">
        <f t="shared" si="3"/>
        <v>450000</v>
      </c>
    </row>
    <row r="29" spans="2:15" ht="22" customHeight="1" x14ac:dyDescent="0.35">
      <c r="B29" s="11" t="s">
        <v>4</v>
      </c>
      <c r="C29" s="11"/>
      <c r="D29" s="12"/>
      <c r="E29" s="13" t="s">
        <v>14</v>
      </c>
      <c r="F29" s="4">
        <v>0</v>
      </c>
      <c r="G29" s="10">
        <v>15</v>
      </c>
      <c r="H29" s="67">
        <v>29000</v>
      </c>
      <c r="I29" s="67">
        <v>13000</v>
      </c>
      <c r="J29" s="66">
        <f t="shared" si="2"/>
        <v>42000</v>
      </c>
      <c r="K29" s="12">
        <v>4</v>
      </c>
      <c r="L29" s="12">
        <v>3</v>
      </c>
      <c r="M29" s="12">
        <v>0</v>
      </c>
      <c r="N29" s="12">
        <v>25</v>
      </c>
      <c r="O29" s="66">
        <f t="shared" si="3"/>
        <v>725000</v>
      </c>
    </row>
    <row r="30" spans="2:15" ht="22" customHeight="1" x14ac:dyDescent="0.35">
      <c r="B30" s="11"/>
      <c r="C30" s="11"/>
      <c r="D30" s="12"/>
      <c r="E30" s="13"/>
      <c r="F30" s="4"/>
      <c r="G30" s="10"/>
      <c r="H30" s="67"/>
      <c r="I30" s="67"/>
      <c r="J30" s="66">
        <f t="shared" si="2"/>
        <v>0</v>
      </c>
      <c r="K30" s="12"/>
      <c r="L30" s="12"/>
      <c r="M30" s="12"/>
      <c r="N30" s="12"/>
      <c r="O30" s="66">
        <f t="shared" si="3"/>
        <v>0</v>
      </c>
    </row>
    <row r="31" spans="2:15" ht="22" customHeight="1" x14ac:dyDescent="0.35">
      <c r="B31" s="11"/>
      <c r="C31" s="11"/>
      <c r="D31" s="12"/>
      <c r="E31" s="13"/>
      <c r="F31" s="4"/>
      <c r="G31" s="10"/>
      <c r="H31" s="67"/>
      <c r="I31" s="67"/>
      <c r="J31" s="66">
        <f t="shared" si="2"/>
        <v>0</v>
      </c>
      <c r="K31" s="12"/>
      <c r="L31" s="12"/>
      <c r="M31" s="12"/>
      <c r="N31" s="12"/>
      <c r="O31" s="66">
        <f t="shared" si="3"/>
        <v>0</v>
      </c>
    </row>
    <row r="32" spans="2:15" ht="22" customHeight="1" x14ac:dyDescent="0.35">
      <c r="B32" s="1"/>
      <c r="C32" s="1"/>
      <c r="D32" s="3"/>
      <c r="E32" s="2"/>
      <c r="F32" s="4"/>
      <c r="G32" s="10"/>
      <c r="H32" s="67"/>
      <c r="I32" s="67"/>
      <c r="J32" s="66">
        <f t="shared" si="2"/>
        <v>0</v>
      </c>
      <c r="K32" s="12"/>
      <c r="L32" s="12"/>
      <c r="M32" s="12"/>
      <c r="N32" s="12"/>
      <c r="O32" s="66">
        <f t="shared" si="3"/>
        <v>0</v>
      </c>
    </row>
    <row r="33" spans="2:15" ht="22" customHeight="1" x14ac:dyDescent="0.35">
      <c r="B33" s="11"/>
      <c r="C33" s="11"/>
      <c r="D33" s="12"/>
      <c r="E33" s="13"/>
      <c r="F33" s="4"/>
      <c r="G33" s="10"/>
      <c r="H33" s="67"/>
      <c r="I33" s="67"/>
      <c r="J33" s="66">
        <f t="shared" si="2"/>
        <v>0</v>
      </c>
      <c r="K33" s="12"/>
      <c r="L33" s="12"/>
      <c r="M33" s="12"/>
      <c r="N33" s="12"/>
      <c r="O33" s="66">
        <f t="shared" si="3"/>
        <v>0</v>
      </c>
    </row>
    <row r="34" spans="2:15" ht="22" customHeight="1" thickBot="1" x14ac:dyDescent="0.4">
      <c r="B34" s="19"/>
      <c r="C34" s="19"/>
      <c r="D34" s="18"/>
      <c r="E34" s="20"/>
      <c r="F34" s="21"/>
      <c r="G34" s="22"/>
      <c r="H34" s="70"/>
      <c r="I34" s="70"/>
      <c r="J34" s="66">
        <f t="shared" si="2"/>
        <v>0</v>
      </c>
      <c r="K34" s="23"/>
      <c r="L34" s="23"/>
      <c r="M34" s="23"/>
      <c r="N34" s="23"/>
      <c r="O34" s="66">
        <f t="shared" si="3"/>
        <v>0</v>
      </c>
    </row>
    <row r="35" spans="2:15" ht="32.25" customHeight="1" thickTop="1" x14ac:dyDescent="0.35">
      <c r="B35" s="55" t="s">
        <v>67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71">
        <f>SUM(O25:O34)</f>
        <v>1555000</v>
      </c>
    </row>
    <row r="37" spans="2:15" ht="45" customHeight="1" x14ac:dyDescent="0.35">
      <c r="B37" s="52" t="s">
        <v>36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</row>
    <row r="38" spans="2:15" ht="45" customHeight="1" x14ac:dyDescent="0.35">
      <c r="B38" s="16" t="s">
        <v>42</v>
      </c>
      <c r="C38" s="16" t="s">
        <v>43</v>
      </c>
      <c r="D38" s="16" t="s">
        <v>44</v>
      </c>
      <c r="E38" s="16" t="s">
        <v>45</v>
      </c>
      <c r="F38" s="17" t="s">
        <v>64</v>
      </c>
      <c r="G38" s="17" t="s">
        <v>65</v>
      </c>
      <c r="H38" s="17" t="s">
        <v>46</v>
      </c>
      <c r="I38" s="17" t="s">
        <v>15</v>
      </c>
      <c r="J38" s="17" t="s">
        <v>47</v>
      </c>
      <c r="K38" s="17" t="s">
        <v>48</v>
      </c>
      <c r="L38" s="17" t="s">
        <v>49</v>
      </c>
      <c r="M38" s="17" t="s">
        <v>63</v>
      </c>
      <c r="N38" s="17" t="s">
        <v>66</v>
      </c>
      <c r="O38" s="17" t="s">
        <v>50</v>
      </c>
    </row>
    <row r="39" spans="2:15" ht="22" customHeight="1" x14ac:dyDescent="0.35">
      <c r="B39" s="1" t="s">
        <v>0</v>
      </c>
      <c r="C39" s="1"/>
      <c r="D39" s="3"/>
      <c r="E39" s="2" t="s">
        <v>10</v>
      </c>
      <c r="F39" s="4">
        <v>0</v>
      </c>
      <c r="G39" s="5">
        <v>15</v>
      </c>
      <c r="H39" s="64">
        <v>2000</v>
      </c>
      <c r="I39" s="65">
        <v>1000</v>
      </c>
      <c r="J39" s="66">
        <f>H39+I39</f>
        <v>3000</v>
      </c>
      <c r="K39" s="3">
        <v>8</v>
      </c>
      <c r="L39" s="3">
        <v>1</v>
      </c>
      <c r="M39" s="3">
        <v>40</v>
      </c>
      <c r="N39" s="3">
        <v>5</v>
      </c>
      <c r="O39" s="66">
        <f>H39*N39</f>
        <v>10000</v>
      </c>
    </row>
    <row r="40" spans="2:15" ht="22" customHeight="1" x14ac:dyDescent="0.35">
      <c r="B40" s="1" t="s">
        <v>1</v>
      </c>
      <c r="C40" s="1"/>
      <c r="D40" s="3"/>
      <c r="E40" s="2" t="s">
        <v>11</v>
      </c>
      <c r="F40" s="4">
        <v>0</v>
      </c>
      <c r="G40" s="10">
        <v>14</v>
      </c>
      <c r="H40" s="67">
        <v>7500</v>
      </c>
      <c r="I40" s="67">
        <v>2500</v>
      </c>
      <c r="J40" s="66">
        <f t="shared" ref="J40:J48" si="4">H40+I40</f>
        <v>10000</v>
      </c>
      <c r="K40" s="12">
        <v>10</v>
      </c>
      <c r="L40" s="12">
        <v>2</v>
      </c>
      <c r="M40" s="12">
        <v>4</v>
      </c>
      <c r="N40" s="12">
        <v>16</v>
      </c>
      <c r="O40" s="66">
        <f t="shared" ref="O40:O48" si="5">H40*N40</f>
        <v>120000</v>
      </c>
    </row>
    <row r="41" spans="2:15" ht="22" customHeight="1" x14ac:dyDescent="0.35">
      <c r="B41" s="11" t="s">
        <v>2</v>
      </c>
      <c r="C41" s="11"/>
      <c r="D41" s="12"/>
      <c r="E41" s="13" t="s">
        <v>12</v>
      </c>
      <c r="F41" s="4">
        <v>0</v>
      </c>
      <c r="G41" s="10">
        <v>22</v>
      </c>
      <c r="H41" s="67">
        <v>10000</v>
      </c>
      <c r="I41" s="67">
        <v>3000</v>
      </c>
      <c r="J41" s="66">
        <f t="shared" si="4"/>
        <v>13000</v>
      </c>
      <c r="K41" s="12">
        <v>5</v>
      </c>
      <c r="L41" s="12">
        <v>1</v>
      </c>
      <c r="M41" s="12">
        <v>6</v>
      </c>
      <c r="N41" s="12">
        <v>25</v>
      </c>
      <c r="O41" s="66">
        <f t="shared" si="5"/>
        <v>250000</v>
      </c>
    </row>
    <row r="42" spans="2:15" ht="22" customHeight="1" x14ac:dyDescent="0.35">
      <c r="B42" s="11" t="s">
        <v>3</v>
      </c>
      <c r="C42" s="11"/>
      <c r="D42" s="12"/>
      <c r="E42" s="13" t="s">
        <v>13</v>
      </c>
      <c r="F42" s="4">
        <v>0</v>
      </c>
      <c r="G42" s="10">
        <v>35</v>
      </c>
      <c r="H42" s="67">
        <v>15000</v>
      </c>
      <c r="I42" s="67">
        <v>5000</v>
      </c>
      <c r="J42" s="66">
        <f t="shared" si="4"/>
        <v>20000</v>
      </c>
      <c r="K42" s="12">
        <v>12</v>
      </c>
      <c r="L42" s="12">
        <v>1</v>
      </c>
      <c r="M42" s="12">
        <v>7</v>
      </c>
      <c r="N42" s="12">
        <v>30</v>
      </c>
      <c r="O42" s="66">
        <f t="shared" si="5"/>
        <v>450000</v>
      </c>
    </row>
    <row r="43" spans="2:15" ht="22" customHeight="1" x14ac:dyDescent="0.35">
      <c r="B43" s="11" t="s">
        <v>4</v>
      </c>
      <c r="C43" s="11"/>
      <c r="D43" s="12"/>
      <c r="E43" s="13" t="s">
        <v>14</v>
      </c>
      <c r="F43" s="4">
        <v>0</v>
      </c>
      <c r="G43" s="10">
        <v>15</v>
      </c>
      <c r="H43" s="67">
        <v>29000</v>
      </c>
      <c r="I43" s="67">
        <v>13000</v>
      </c>
      <c r="J43" s="66">
        <f t="shared" si="4"/>
        <v>42000</v>
      </c>
      <c r="K43" s="12">
        <v>4</v>
      </c>
      <c r="L43" s="12">
        <v>3</v>
      </c>
      <c r="M43" s="12">
        <v>18</v>
      </c>
      <c r="N43" s="12">
        <v>25</v>
      </c>
      <c r="O43" s="66">
        <f t="shared" si="5"/>
        <v>725000</v>
      </c>
    </row>
    <row r="44" spans="2:15" ht="22" customHeight="1" x14ac:dyDescent="0.35">
      <c r="B44" s="11"/>
      <c r="C44" s="11"/>
      <c r="D44" s="12"/>
      <c r="E44" s="13"/>
      <c r="F44" s="4"/>
      <c r="G44" s="10"/>
      <c r="H44" s="67"/>
      <c r="I44" s="67"/>
      <c r="J44" s="66">
        <f t="shared" si="4"/>
        <v>0</v>
      </c>
      <c r="K44" s="12"/>
      <c r="L44" s="12"/>
      <c r="M44" s="12"/>
      <c r="N44" s="12"/>
      <c r="O44" s="66">
        <f t="shared" si="5"/>
        <v>0</v>
      </c>
    </row>
    <row r="45" spans="2:15" ht="22" customHeight="1" x14ac:dyDescent="0.35">
      <c r="B45" s="11"/>
      <c r="C45" s="11"/>
      <c r="D45" s="12"/>
      <c r="E45" s="13"/>
      <c r="F45" s="4"/>
      <c r="G45" s="10"/>
      <c r="H45" s="67"/>
      <c r="I45" s="67"/>
      <c r="J45" s="66">
        <f t="shared" si="4"/>
        <v>0</v>
      </c>
      <c r="K45" s="12"/>
      <c r="L45" s="12"/>
      <c r="M45" s="12"/>
      <c r="N45" s="12"/>
      <c r="O45" s="66">
        <f t="shared" si="5"/>
        <v>0</v>
      </c>
    </row>
    <row r="46" spans="2:15" ht="22" customHeight="1" x14ac:dyDescent="0.35">
      <c r="B46" s="1"/>
      <c r="C46" s="1"/>
      <c r="D46" s="3"/>
      <c r="E46" s="2"/>
      <c r="F46" s="4"/>
      <c r="G46" s="10"/>
      <c r="H46" s="67"/>
      <c r="I46" s="67"/>
      <c r="J46" s="66">
        <f t="shared" si="4"/>
        <v>0</v>
      </c>
      <c r="K46" s="12"/>
      <c r="L46" s="12"/>
      <c r="M46" s="12"/>
      <c r="N46" s="12"/>
      <c r="O46" s="66">
        <f t="shared" si="5"/>
        <v>0</v>
      </c>
    </row>
    <row r="47" spans="2:15" ht="22" customHeight="1" x14ac:dyDescent="0.35">
      <c r="B47" s="11"/>
      <c r="C47" s="11"/>
      <c r="D47" s="12"/>
      <c r="E47" s="13"/>
      <c r="F47" s="4"/>
      <c r="G47" s="10"/>
      <c r="H47" s="67"/>
      <c r="I47" s="67"/>
      <c r="J47" s="66">
        <f t="shared" si="4"/>
        <v>0</v>
      </c>
      <c r="K47" s="12"/>
      <c r="L47" s="12"/>
      <c r="M47" s="12"/>
      <c r="N47" s="12"/>
      <c r="O47" s="66">
        <f t="shared" si="5"/>
        <v>0</v>
      </c>
    </row>
    <row r="48" spans="2:15" ht="22" customHeight="1" thickBot="1" x14ac:dyDescent="0.4">
      <c r="B48" s="19"/>
      <c r="C48" s="19"/>
      <c r="D48" s="18"/>
      <c r="E48" s="20"/>
      <c r="F48" s="21"/>
      <c r="G48" s="22"/>
      <c r="H48" s="70"/>
      <c r="I48" s="70"/>
      <c r="J48" s="66">
        <f t="shared" si="4"/>
        <v>0</v>
      </c>
      <c r="K48" s="23"/>
      <c r="L48" s="23"/>
      <c r="M48" s="23"/>
      <c r="N48" s="23"/>
      <c r="O48" s="66">
        <f t="shared" si="5"/>
        <v>0</v>
      </c>
    </row>
    <row r="49" spans="2:15" ht="32.25" customHeight="1" thickTop="1" x14ac:dyDescent="0.35">
      <c r="B49" s="55" t="s">
        <v>67</v>
      </c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71">
        <f>SUM(O39:O48)</f>
        <v>1555000</v>
      </c>
    </row>
    <row r="51" spans="2:15" ht="45" customHeight="1" x14ac:dyDescent="0.35">
      <c r="B51" s="52" t="s">
        <v>37</v>
      </c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</row>
    <row r="52" spans="2:15" ht="45" customHeight="1" x14ac:dyDescent="0.35">
      <c r="B52" s="16" t="s">
        <v>42</v>
      </c>
      <c r="C52" s="16" t="s">
        <v>43</v>
      </c>
      <c r="D52" s="16" t="s">
        <v>44</v>
      </c>
      <c r="E52" s="16" t="s">
        <v>45</v>
      </c>
      <c r="F52" s="17" t="s">
        <v>64</v>
      </c>
      <c r="G52" s="17" t="s">
        <v>65</v>
      </c>
      <c r="H52" s="17" t="s">
        <v>46</v>
      </c>
      <c r="I52" s="17" t="s">
        <v>15</v>
      </c>
      <c r="J52" s="17" t="s">
        <v>47</v>
      </c>
      <c r="K52" s="17" t="s">
        <v>48</v>
      </c>
      <c r="L52" s="17" t="s">
        <v>49</v>
      </c>
      <c r="M52" s="17" t="s">
        <v>63</v>
      </c>
      <c r="N52" s="17" t="s">
        <v>66</v>
      </c>
      <c r="O52" s="17" t="s">
        <v>50</v>
      </c>
    </row>
    <row r="53" spans="2:15" ht="22" customHeight="1" x14ac:dyDescent="0.35">
      <c r="B53" s="1" t="s">
        <v>0</v>
      </c>
      <c r="C53" s="1"/>
      <c r="D53" s="3"/>
      <c r="E53" s="2" t="s">
        <v>10</v>
      </c>
      <c r="F53" s="4">
        <v>0</v>
      </c>
      <c r="G53" s="5">
        <v>15</v>
      </c>
      <c r="H53" s="64">
        <v>2000</v>
      </c>
      <c r="I53" s="65">
        <v>1000</v>
      </c>
      <c r="J53" s="66">
        <f>H53+I53</f>
        <v>3000</v>
      </c>
      <c r="K53" s="3">
        <v>8</v>
      </c>
      <c r="L53" s="3">
        <v>1</v>
      </c>
      <c r="M53" s="3">
        <v>6</v>
      </c>
      <c r="N53" s="3">
        <v>5</v>
      </c>
      <c r="O53" s="66">
        <f>H53*N53</f>
        <v>10000</v>
      </c>
    </row>
    <row r="54" spans="2:15" ht="22" customHeight="1" x14ac:dyDescent="0.35">
      <c r="B54" s="1" t="s">
        <v>1</v>
      </c>
      <c r="C54" s="1"/>
      <c r="D54" s="3"/>
      <c r="E54" s="2" t="s">
        <v>11</v>
      </c>
      <c r="F54" s="4">
        <v>0</v>
      </c>
      <c r="G54" s="10">
        <v>14</v>
      </c>
      <c r="H54" s="67">
        <v>7500</v>
      </c>
      <c r="I54" s="67">
        <v>2500</v>
      </c>
      <c r="J54" s="66">
        <f t="shared" ref="J54:J62" si="6">H54+I54</f>
        <v>10000</v>
      </c>
      <c r="K54" s="12">
        <v>10</v>
      </c>
      <c r="L54" s="12">
        <v>2</v>
      </c>
      <c r="M54" s="12">
        <v>16</v>
      </c>
      <c r="N54" s="12">
        <v>16</v>
      </c>
      <c r="O54" s="66">
        <f t="shared" ref="O54:O62" si="7">H54*N54</f>
        <v>120000</v>
      </c>
    </row>
    <row r="55" spans="2:15" ht="22" customHeight="1" x14ac:dyDescent="0.35">
      <c r="B55" s="11" t="s">
        <v>2</v>
      </c>
      <c r="C55" s="11"/>
      <c r="D55" s="12"/>
      <c r="E55" s="13" t="s">
        <v>12</v>
      </c>
      <c r="F55" s="4">
        <v>0</v>
      </c>
      <c r="G55" s="10">
        <v>22</v>
      </c>
      <c r="H55" s="67">
        <v>10000</v>
      </c>
      <c r="I55" s="67">
        <v>3000</v>
      </c>
      <c r="J55" s="66">
        <f t="shared" si="6"/>
        <v>13000</v>
      </c>
      <c r="K55" s="12">
        <v>5</v>
      </c>
      <c r="L55" s="12">
        <v>1</v>
      </c>
      <c r="M55" s="12">
        <v>15</v>
      </c>
      <c r="N55" s="12">
        <v>25</v>
      </c>
      <c r="O55" s="66">
        <f t="shared" si="7"/>
        <v>250000</v>
      </c>
    </row>
    <row r="56" spans="2:15" ht="22" customHeight="1" x14ac:dyDescent="0.35">
      <c r="B56" s="11" t="s">
        <v>3</v>
      </c>
      <c r="C56" s="11"/>
      <c r="D56" s="12"/>
      <c r="E56" s="13" t="s">
        <v>13</v>
      </c>
      <c r="F56" s="4">
        <v>0</v>
      </c>
      <c r="G56" s="10">
        <v>35</v>
      </c>
      <c r="H56" s="67">
        <v>15000</v>
      </c>
      <c r="I56" s="67">
        <v>5000</v>
      </c>
      <c r="J56" s="66">
        <f t="shared" si="6"/>
        <v>20000</v>
      </c>
      <c r="K56" s="12">
        <v>12</v>
      </c>
      <c r="L56" s="12">
        <v>1</v>
      </c>
      <c r="M56" s="12">
        <v>8</v>
      </c>
      <c r="N56" s="12">
        <v>30</v>
      </c>
      <c r="O56" s="66">
        <f t="shared" si="7"/>
        <v>450000</v>
      </c>
    </row>
    <row r="57" spans="2:15" ht="22" customHeight="1" x14ac:dyDescent="0.35">
      <c r="B57" s="11" t="s">
        <v>4</v>
      </c>
      <c r="C57" s="11"/>
      <c r="D57" s="12"/>
      <c r="E57" s="13" t="s">
        <v>14</v>
      </c>
      <c r="F57" s="4">
        <v>0</v>
      </c>
      <c r="G57" s="10">
        <v>15</v>
      </c>
      <c r="H57" s="67">
        <v>29000</v>
      </c>
      <c r="I57" s="67">
        <v>13000</v>
      </c>
      <c r="J57" s="66">
        <f t="shared" si="6"/>
        <v>42000</v>
      </c>
      <c r="K57" s="12">
        <v>4</v>
      </c>
      <c r="L57" s="12">
        <v>3</v>
      </c>
      <c r="M57" s="12">
        <v>12</v>
      </c>
      <c r="N57" s="12">
        <v>25</v>
      </c>
      <c r="O57" s="66">
        <f t="shared" si="7"/>
        <v>725000</v>
      </c>
    </row>
    <row r="58" spans="2:15" ht="22" customHeight="1" x14ac:dyDescent="0.35">
      <c r="B58" s="11"/>
      <c r="C58" s="11"/>
      <c r="D58" s="12"/>
      <c r="E58" s="13"/>
      <c r="F58" s="4"/>
      <c r="G58" s="10"/>
      <c r="H58" s="67"/>
      <c r="I58" s="67"/>
      <c r="J58" s="66">
        <f t="shared" si="6"/>
        <v>0</v>
      </c>
      <c r="K58" s="12"/>
      <c r="L58" s="12"/>
      <c r="M58" s="12"/>
      <c r="N58" s="12"/>
      <c r="O58" s="66">
        <f t="shared" si="7"/>
        <v>0</v>
      </c>
    </row>
    <row r="59" spans="2:15" ht="22" customHeight="1" x14ac:dyDescent="0.35">
      <c r="B59" s="11"/>
      <c r="C59" s="11"/>
      <c r="D59" s="12"/>
      <c r="E59" s="13"/>
      <c r="F59" s="4"/>
      <c r="G59" s="10"/>
      <c r="H59" s="67"/>
      <c r="I59" s="67"/>
      <c r="J59" s="66">
        <f t="shared" si="6"/>
        <v>0</v>
      </c>
      <c r="K59" s="12"/>
      <c r="L59" s="12"/>
      <c r="M59" s="12"/>
      <c r="N59" s="12"/>
      <c r="O59" s="66">
        <f t="shared" si="7"/>
        <v>0</v>
      </c>
    </row>
    <row r="60" spans="2:15" ht="22" customHeight="1" x14ac:dyDescent="0.35">
      <c r="B60" s="1"/>
      <c r="C60" s="1"/>
      <c r="D60" s="3"/>
      <c r="E60" s="2"/>
      <c r="F60" s="4"/>
      <c r="G60" s="10"/>
      <c r="H60" s="67"/>
      <c r="I60" s="67"/>
      <c r="J60" s="66">
        <f t="shared" si="6"/>
        <v>0</v>
      </c>
      <c r="K60" s="12"/>
      <c r="L60" s="12"/>
      <c r="M60" s="12"/>
      <c r="N60" s="12"/>
      <c r="O60" s="66">
        <f t="shared" si="7"/>
        <v>0</v>
      </c>
    </row>
    <row r="61" spans="2:15" ht="22" customHeight="1" x14ac:dyDescent="0.35">
      <c r="B61" s="11"/>
      <c r="C61" s="11"/>
      <c r="D61" s="12"/>
      <c r="E61" s="13"/>
      <c r="F61" s="4"/>
      <c r="G61" s="10"/>
      <c r="H61" s="67"/>
      <c r="I61" s="67"/>
      <c r="J61" s="66">
        <f t="shared" si="6"/>
        <v>0</v>
      </c>
      <c r="K61" s="12"/>
      <c r="L61" s="12"/>
      <c r="M61" s="12"/>
      <c r="N61" s="12"/>
      <c r="O61" s="66">
        <f t="shared" si="7"/>
        <v>0</v>
      </c>
    </row>
    <row r="62" spans="2:15" ht="22" customHeight="1" thickBot="1" x14ac:dyDescent="0.4">
      <c r="B62" s="19"/>
      <c r="C62" s="19"/>
      <c r="D62" s="18"/>
      <c r="E62" s="20"/>
      <c r="F62" s="21"/>
      <c r="G62" s="22"/>
      <c r="H62" s="70"/>
      <c r="I62" s="70"/>
      <c r="J62" s="66">
        <f t="shared" si="6"/>
        <v>0</v>
      </c>
      <c r="K62" s="23"/>
      <c r="L62" s="23"/>
      <c r="M62" s="23"/>
      <c r="N62" s="23"/>
      <c r="O62" s="66">
        <f t="shared" si="7"/>
        <v>0</v>
      </c>
    </row>
    <row r="63" spans="2:15" ht="32.25" customHeight="1" thickTop="1" x14ac:dyDescent="0.35">
      <c r="B63" s="55" t="s">
        <v>67</v>
      </c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71">
        <f>SUM(O53:O62)</f>
        <v>1555000</v>
      </c>
    </row>
  </sheetData>
  <mergeCells count="16">
    <mergeCell ref="B51:O51"/>
    <mergeCell ref="B63:N63"/>
    <mergeCell ref="B4:C4"/>
    <mergeCell ref="B5:C5"/>
    <mergeCell ref="B6:C6"/>
    <mergeCell ref="B7:C7"/>
    <mergeCell ref="F4:G4"/>
    <mergeCell ref="F5:G5"/>
    <mergeCell ref="F6:G6"/>
    <mergeCell ref="F7:G7"/>
    <mergeCell ref="B9:O9"/>
    <mergeCell ref="B23:O23"/>
    <mergeCell ref="B21:N21"/>
    <mergeCell ref="B35:N35"/>
    <mergeCell ref="B37:O37"/>
    <mergeCell ref="B49:N49"/>
  </mergeCells>
  <phoneticPr fontId="2" type="noConversion"/>
  <conditionalFormatting sqref="B30:I34 K25:N34 B25:G29">
    <cfRule type="expression" dxfId="61" priority="11">
      <formula>AND($N25&lt;$G25, $N25&lt;&gt;"")</formula>
    </cfRule>
  </conditionalFormatting>
  <conditionalFormatting sqref="B44:I48 K39:N48 B39:G43">
    <cfRule type="expression" dxfId="60" priority="9">
      <formula>AND($N39&lt;$G39, $N39&lt;&gt;"")</formula>
    </cfRule>
  </conditionalFormatting>
  <conditionalFormatting sqref="B58:I62 K53:N62 B53:G57">
    <cfRule type="expression" dxfId="59" priority="7">
      <formula>AND($N53&lt;$G53, $N53&lt;&gt;"")</formula>
    </cfRule>
  </conditionalFormatting>
  <conditionalFormatting sqref="B11:N20">
    <cfRule type="expression" dxfId="58" priority="13">
      <formula>AND($N11&lt;$G11, $N11&lt;&gt;"")</formula>
    </cfRule>
  </conditionalFormatting>
  <conditionalFormatting sqref="G11:G20 G25:G34">
    <cfRule type="expression" dxfId="57" priority="16">
      <formula>_xlfn.RANK.EQ($F11,$F$13:$F$21)&lt;=5</formula>
    </cfRule>
  </conditionalFormatting>
  <conditionalFormatting sqref="G39:G48">
    <cfRule type="expression" dxfId="56" priority="10">
      <formula>_xlfn.RANK.EQ($F39,$F$13:$F$21)&lt;=5</formula>
    </cfRule>
  </conditionalFormatting>
  <conditionalFormatting sqref="G53:G62">
    <cfRule type="expression" dxfId="55" priority="8">
      <formula>_xlfn.RANK.EQ($F53,$F$13:$F$21)&lt;=5</formula>
    </cfRule>
  </conditionalFormatting>
  <conditionalFormatting sqref="J25:J34">
    <cfRule type="expression" dxfId="54" priority="6">
      <formula>AND($N25&lt;$G25, $N25&lt;&gt;"")</formula>
    </cfRule>
  </conditionalFormatting>
  <conditionalFormatting sqref="J39:J48">
    <cfRule type="expression" dxfId="53" priority="5">
      <formula>AND($N39&lt;$G39, $N39&lt;&gt;"")</formula>
    </cfRule>
  </conditionalFormatting>
  <conditionalFormatting sqref="J53:J62">
    <cfRule type="expression" dxfId="52" priority="4">
      <formula>AND($N53&lt;$G53, $N53&lt;&gt;"")</formula>
    </cfRule>
  </conditionalFormatting>
  <conditionalFormatting sqref="H25:I29">
    <cfRule type="expression" dxfId="18" priority="3">
      <formula>AND($N25&lt;$G25, $N25&lt;&gt;"")</formula>
    </cfRule>
  </conditionalFormatting>
  <conditionalFormatting sqref="H39:I43">
    <cfRule type="expression" dxfId="17" priority="2">
      <formula>AND($N39&lt;$G39, $N39&lt;&gt;"")</formula>
    </cfRule>
  </conditionalFormatting>
  <conditionalFormatting sqref="H53:I57">
    <cfRule type="expression" dxfId="16" priority="1">
      <formula>AND($N53&lt;$G53, $N53&lt;&gt;"")</formula>
    </cfRule>
  </conditionalFormatting>
  <pageMargins left="0.7" right="0.7" top="0.75" bottom="0.75" header="0.3" footer="0.3"/>
  <pageSetup scale="34" fitToHeight="0" orientation="portrait" horizontalDpi="1200" verticalDpi="1200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63455-B305-4ED4-B779-D898B733057B}">
  <sheetPr>
    <tabColor theme="7" tint="0.79998168889431442"/>
    <pageSetUpPr fitToPage="1"/>
  </sheetPr>
  <dimension ref="B1:O59"/>
  <sheetViews>
    <sheetView showGridLines="0" zoomScale="70" zoomScaleNormal="70" workbookViewId="0">
      <selection activeCell="F3" sqref="F3"/>
    </sheetView>
  </sheetViews>
  <sheetFormatPr defaultColWidth="8.81640625" defaultRowHeight="14.5" x14ac:dyDescent="0.35"/>
  <cols>
    <col min="1" max="1" width="3.6328125" customWidth="1"/>
    <col min="2" max="2" width="15.6328125" customWidth="1"/>
    <col min="3" max="3" width="32.6328125" customWidth="1"/>
    <col min="4" max="4" width="25.6328125" customWidth="1"/>
    <col min="5" max="5" width="24.08984375" customWidth="1"/>
    <col min="6" max="6" width="32.6328125" customWidth="1"/>
    <col min="7" max="9" width="15.6328125" customWidth="1"/>
    <col min="10" max="10" width="3.6328125" customWidth="1"/>
    <col min="11" max="11" width="15.6328125" customWidth="1"/>
  </cols>
  <sheetData>
    <row r="1" spans="2:15" ht="59.25" customHeight="1" x14ac:dyDescent="0.8">
      <c r="B1" s="26" t="s">
        <v>39</v>
      </c>
    </row>
    <row r="2" spans="2:15" ht="39" customHeight="1" x14ac:dyDescent="0.45">
      <c r="B2" s="27" t="s">
        <v>51</v>
      </c>
      <c r="F2" s="27"/>
    </row>
    <row r="3" spans="2:15" ht="22" customHeight="1" x14ac:dyDescent="0.35">
      <c r="B3" s="28" t="s">
        <v>40</v>
      </c>
      <c r="F3" s="28"/>
    </row>
    <row r="4" spans="2:15" ht="35.25" customHeight="1" x14ac:dyDescent="0.35">
      <c r="B4" s="53" t="s">
        <v>34</v>
      </c>
      <c r="C4" s="54"/>
      <c r="D4" s="75">
        <f>SUM(I11:I20)</f>
        <v>1137000</v>
      </c>
      <c r="F4" s="58"/>
      <c r="G4" s="58"/>
      <c r="H4" s="29"/>
    </row>
    <row r="5" spans="2:15" ht="35.25" customHeight="1" x14ac:dyDescent="0.35">
      <c r="B5" s="53" t="s">
        <v>35</v>
      </c>
      <c r="C5" s="54"/>
      <c r="D5" s="75">
        <f>SUM(I24:I33)</f>
        <v>825000</v>
      </c>
      <c r="F5" s="58"/>
      <c r="G5" s="58"/>
      <c r="H5" s="29"/>
    </row>
    <row r="6" spans="2:15" ht="35.25" customHeight="1" x14ac:dyDescent="0.35">
      <c r="B6" s="53" t="s">
        <v>36</v>
      </c>
      <c r="C6" s="54"/>
      <c r="D6" s="75">
        <f>SUM(I37:I46)</f>
        <v>1284000</v>
      </c>
      <c r="F6" s="58"/>
      <c r="G6" s="58"/>
      <c r="H6" s="29"/>
    </row>
    <row r="7" spans="2:15" ht="35.25" customHeight="1" x14ac:dyDescent="0.35">
      <c r="B7" s="53" t="s">
        <v>37</v>
      </c>
      <c r="C7" s="54"/>
      <c r="D7" s="75">
        <f>SUM(I50:I59)</f>
        <v>1331000</v>
      </c>
      <c r="F7" s="58"/>
      <c r="G7" s="58"/>
      <c r="H7" s="29"/>
    </row>
    <row r="8" spans="2:15" ht="30" customHeight="1" x14ac:dyDescent="0.35">
      <c r="B8" s="46"/>
    </row>
    <row r="9" spans="2:15" ht="45" customHeight="1" x14ac:dyDescent="0.35">
      <c r="B9" s="56" t="s">
        <v>34</v>
      </c>
      <c r="C9" s="57"/>
      <c r="D9" s="57"/>
      <c r="E9" s="57"/>
      <c r="F9" s="57"/>
      <c r="G9" s="57"/>
      <c r="H9" s="57"/>
      <c r="I9" s="57"/>
      <c r="J9" s="30"/>
      <c r="K9" s="30"/>
      <c r="L9" s="30"/>
      <c r="M9" s="30"/>
      <c r="N9" s="30"/>
      <c r="O9" s="30"/>
    </row>
    <row r="10" spans="2:15" ht="45" customHeight="1" x14ac:dyDescent="0.35">
      <c r="B10" s="32" t="s">
        <v>52</v>
      </c>
      <c r="C10" s="32" t="s">
        <v>42</v>
      </c>
      <c r="D10" s="32" t="s">
        <v>53</v>
      </c>
      <c r="E10" s="32" t="s">
        <v>54</v>
      </c>
      <c r="F10" s="32" t="s">
        <v>55</v>
      </c>
      <c r="G10" s="32" t="s">
        <v>56</v>
      </c>
      <c r="H10" s="32" t="s">
        <v>57</v>
      </c>
      <c r="I10" s="32" t="s">
        <v>58</v>
      </c>
    </row>
    <row r="11" spans="2:15" ht="22" customHeight="1" x14ac:dyDescent="0.35">
      <c r="B11" s="5">
        <v>1245</v>
      </c>
      <c r="C11" s="2" t="s">
        <v>0</v>
      </c>
      <c r="D11" s="72" t="s">
        <v>59</v>
      </c>
      <c r="E11" s="72" t="s">
        <v>59</v>
      </c>
      <c r="F11" s="2" t="s">
        <v>60</v>
      </c>
      <c r="G11" s="33">
        <v>10</v>
      </c>
      <c r="H11" s="73">
        <v>15000</v>
      </c>
      <c r="I11" s="74">
        <f>G11*H11</f>
        <v>150000</v>
      </c>
    </row>
    <row r="12" spans="2:15" ht="22" customHeight="1" x14ac:dyDescent="0.35">
      <c r="B12" s="5"/>
      <c r="C12" s="2" t="s">
        <v>1</v>
      </c>
      <c r="D12" s="72" t="s">
        <v>59</v>
      </c>
      <c r="E12" s="72" t="s">
        <v>59</v>
      </c>
      <c r="F12" s="2"/>
      <c r="G12" s="33">
        <v>12</v>
      </c>
      <c r="H12" s="73">
        <v>14000</v>
      </c>
      <c r="I12" s="74">
        <f t="shared" ref="I12:I20" si="0">G12*H12</f>
        <v>168000</v>
      </c>
    </row>
    <row r="13" spans="2:15" ht="22" customHeight="1" x14ac:dyDescent="0.35">
      <c r="B13" s="5"/>
      <c r="C13" s="2" t="s">
        <v>2</v>
      </c>
      <c r="D13" s="72" t="s">
        <v>59</v>
      </c>
      <c r="E13" s="72" t="s">
        <v>59</v>
      </c>
      <c r="F13" s="2"/>
      <c r="G13" s="33">
        <v>8</v>
      </c>
      <c r="H13" s="73">
        <v>6000</v>
      </c>
      <c r="I13" s="74">
        <f t="shared" si="0"/>
        <v>48000</v>
      </c>
    </row>
    <row r="14" spans="2:15" ht="22" customHeight="1" x14ac:dyDescent="0.35">
      <c r="B14" s="5"/>
      <c r="C14" s="2" t="s">
        <v>3</v>
      </c>
      <c r="D14" s="72" t="s">
        <v>59</v>
      </c>
      <c r="E14" s="72" t="s">
        <v>59</v>
      </c>
      <c r="F14" s="2"/>
      <c r="G14" s="33">
        <v>5</v>
      </c>
      <c r="H14" s="73">
        <v>6000</v>
      </c>
      <c r="I14" s="74">
        <f t="shared" si="0"/>
        <v>30000</v>
      </c>
    </row>
    <row r="15" spans="2:15" ht="22" customHeight="1" x14ac:dyDescent="0.35">
      <c r="B15" s="5"/>
      <c r="C15" s="2" t="s">
        <v>4</v>
      </c>
      <c r="D15" s="72" t="s">
        <v>59</v>
      </c>
      <c r="E15" s="72" t="s">
        <v>59</v>
      </c>
      <c r="F15" s="2"/>
      <c r="G15" s="33">
        <v>24</v>
      </c>
      <c r="H15" s="73">
        <v>11000</v>
      </c>
      <c r="I15" s="74">
        <f t="shared" si="0"/>
        <v>264000</v>
      </c>
    </row>
    <row r="16" spans="2:15" ht="22" customHeight="1" x14ac:dyDescent="0.35">
      <c r="B16" s="5"/>
      <c r="C16" s="2" t="s">
        <v>5</v>
      </c>
      <c r="D16" s="72" t="s">
        <v>59</v>
      </c>
      <c r="E16" s="72" t="s">
        <v>59</v>
      </c>
      <c r="F16" s="2"/>
      <c r="G16" s="33">
        <v>15</v>
      </c>
      <c r="H16" s="73">
        <v>6000</v>
      </c>
      <c r="I16" s="74">
        <f t="shared" si="0"/>
        <v>90000</v>
      </c>
    </row>
    <row r="17" spans="2:15" ht="22" customHeight="1" x14ac:dyDescent="0.35">
      <c r="B17" s="5"/>
      <c r="C17" s="2" t="s">
        <v>6</v>
      </c>
      <c r="D17" s="72" t="s">
        <v>59</v>
      </c>
      <c r="E17" s="72" t="s">
        <v>59</v>
      </c>
      <c r="F17" s="2"/>
      <c r="G17" s="33">
        <v>12</v>
      </c>
      <c r="H17" s="73">
        <v>6000</v>
      </c>
      <c r="I17" s="74">
        <f t="shared" si="0"/>
        <v>72000</v>
      </c>
    </row>
    <row r="18" spans="2:15" ht="22" customHeight="1" x14ac:dyDescent="0.35">
      <c r="B18" s="5"/>
      <c r="C18" s="2" t="s">
        <v>7</v>
      </c>
      <c r="D18" s="72" t="s">
        <v>59</v>
      </c>
      <c r="E18" s="72" t="s">
        <v>59</v>
      </c>
      <c r="F18" s="2"/>
      <c r="G18" s="33">
        <v>22</v>
      </c>
      <c r="H18" s="73">
        <v>12000</v>
      </c>
      <c r="I18" s="74">
        <f t="shared" si="0"/>
        <v>264000</v>
      </c>
    </row>
    <row r="19" spans="2:15" ht="22" customHeight="1" x14ac:dyDescent="0.35">
      <c r="B19" s="5"/>
      <c r="C19" s="2" t="s">
        <v>8</v>
      </c>
      <c r="D19" s="72" t="s">
        <v>59</v>
      </c>
      <c r="E19" s="72" t="s">
        <v>59</v>
      </c>
      <c r="F19" s="2"/>
      <c r="G19" s="33">
        <v>6</v>
      </c>
      <c r="H19" s="73">
        <v>4000</v>
      </c>
      <c r="I19" s="74">
        <f t="shared" si="0"/>
        <v>24000</v>
      </c>
    </row>
    <row r="20" spans="2:15" ht="22" customHeight="1" x14ac:dyDescent="0.35">
      <c r="B20" s="5"/>
      <c r="C20" s="2" t="s">
        <v>9</v>
      </c>
      <c r="D20" s="72" t="s">
        <v>59</v>
      </c>
      <c r="E20" s="72" t="s">
        <v>59</v>
      </c>
      <c r="F20" s="2"/>
      <c r="G20" s="33">
        <v>9</v>
      </c>
      <c r="H20" s="73">
        <v>3000</v>
      </c>
      <c r="I20" s="74">
        <f t="shared" si="0"/>
        <v>27000</v>
      </c>
    </row>
    <row r="22" spans="2:15" ht="45" customHeight="1" x14ac:dyDescent="0.35">
      <c r="B22" s="56" t="s">
        <v>35</v>
      </c>
      <c r="C22" s="57"/>
      <c r="D22" s="57"/>
      <c r="E22" s="57"/>
      <c r="F22" s="57"/>
      <c r="G22" s="57"/>
      <c r="H22" s="57"/>
      <c r="I22" s="57"/>
      <c r="J22" s="30"/>
      <c r="K22" s="30"/>
      <c r="L22" s="30"/>
      <c r="M22" s="30"/>
      <c r="N22" s="30"/>
      <c r="O22" s="30"/>
    </row>
    <row r="23" spans="2:15" ht="45" customHeight="1" x14ac:dyDescent="0.35">
      <c r="B23" s="32" t="s">
        <v>52</v>
      </c>
      <c r="C23" s="32" t="s">
        <v>42</v>
      </c>
      <c r="D23" s="32" t="s">
        <v>53</v>
      </c>
      <c r="E23" s="32" t="s">
        <v>54</v>
      </c>
      <c r="F23" s="32" t="s">
        <v>55</v>
      </c>
      <c r="G23" s="32" t="s">
        <v>56</v>
      </c>
      <c r="H23" s="32" t="s">
        <v>57</v>
      </c>
      <c r="I23" s="32" t="s">
        <v>58</v>
      </c>
    </row>
    <row r="24" spans="2:15" ht="22" customHeight="1" x14ac:dyDescent="0.35">
      <c r="B24" s="5">
        <v>1245</v>
      </c>
      <c r="C24" s="2" t="s">
        <v>0</v>
      </c>
      <c r="D24" s="72" t="s">
        <v>59</v>
      </c>
      <c r="E24" s="72" t="s">
        <v>59</v>
      </c>
      <c r="F24" s="2" t="s">
        <v>60</v>
      </c>
      <c r="G24" s="33">
        <v>5</v>
      </c>
      <c r="H24" s="73">
        <v>15000</v>
      </c>
      <c r="I24" s="74">
        <f>G24*H24</f>
        <v>75000</v>
      </c>
    </row>
    <row r="25" spans="2:15" ht="22" customHeight="1" x14ac:dyDescent="0.35">
      <c r="B25" s="5"/>
      <c r="C25" s="2" t="s">
        <v>1</v>
      </c>
      <c r="D25" s="72" t="s">
        <v>59</v>
      </c>
      <c r="E25" s="72" t="s">
        <v>59</v>
      </c>
      <c r="F25" s="2"/>
      <c r="G25" s="33">
        <v>6</v>
      </c>
      <c r="H25" s="73">
        <v>14000</v>
      </c>
      <c r="I25" s="74">
        <f t="shared" ref="I25:I33" si="1">G25*H25</f>
        <v>84000</v>
      </c>
    </row>
    <row r="26" spans="2:15" ht="22" customHeight="1" x14ac:dyDescent="0.35">
      <c r="B26" s="5"/>
      <c r="C26" s="2" t="s">
        <v>2</v>
      </c>
      <c r="D26" s="72" t="s">
        <v>59</v>
      </c>
      <c r="E26" s="72" t="s">
        <v>59</v>
      </c>
      <c r="F26" s="2"/>
      <c r="G26" s="33">
        <v>15</v>
      </c>
      <c r="H26" s="73">
        <v>6000</v>
      </c>
      <c r="I26" s="74">
        <f t="shared" si="1"/>
        <v>90000</v>
      </c>
    </row>
    <row r="27" spans="2:15" ht="22" customHeight="1" x14ac:dyDescent="0.35">
      <c r="B27" s="5"/>
      <c r="C27" s="2" t="s">
        <v>3</v>
      </c>
      <c r="D27" s="72" t="s">
        <v>59</v>
      </c>
      <c r="E27" s="72" t="s">
        <v>59</v>
      </c>
      <c r="F27" s="2"/>
      <c r="G27" s="33">
        <v>15</v>
      </c>
      <c r="H27" s="73">
        <v>6000</v>
      </c>
      <c r="I27" s="74">
        <f t="shared" si="1"/>
        <v>90000</v>
      </c>
    </row>
    <row r="28" spans="2:15" ht="22" customHeight="1" x14ac:dyDescent="0.35">
      <c r="B28" s="5"/>
      <c r="C28" s="2" t="s">
        <v>4</v>
      </c>
      <c r="D28" s="72" t="s">
        <v>59</v>
      </c>
      <c r="E28" s="72" t="s">
        <v>59</v>
      </c>
      <c r="F28" s="2"/>
      <c r="G28" s="33">
        <v>15</v>
      </c>
      <c r="H28" s="73">
        <v>11000</v>
      </c>
      <c r="I28" s="74">
        <f t="shared" si="1"/>
        <v>165000</v>
      </c>
    </row>
    <row r="29" spans="2:15" ht="22" customHeight="1" x14ac:dyDescent="0.35">
      <c r="B29" s="5"/>
      <c r="C29" s="2" t="s">
        <v>5</v>
      </c>
      <c r="D29" s="72" t="s">
        <v>59</v>
      </c>
      <c r="E29" s="72" t="s">
        <v>59</v>
      </c>
      <c r="F29" s="2"/>
      <c r="G29" s="33">
        <v>4</v>
      </c>
      <c r="H29" s="73">
        <v>6000</v>
      </c>
      <c r="I29" s="74">
        <f t="shared" si="1"/>
        <v>24000</v>
      </c>
    </row>
    <row r="30" spans="2:15" ht="22" customHeight="1" x14ac:dyDescent="0.35">
      <c r="B30" s="5"/>
      <c r="C30" s="2" t="s">
        <v>6</v>
      </c>
      <c r="D30" s="72" t="s">
        <v>59</v>
      </c>
      <c r="E30" s="72" t="s">
        <v>59</v>
      </c>
      <c r="F30" s="2"/>
      <c r="G30" s="33">
        <v>6</v>
      </c>
      <c r="H30" s="73">
        <v>6000</v>
      </c>
      <c r="I30" s="74">
        <f t="shared" si="1"/>
        <v>36000</v>
      </c>
    </row>
    <row r="31" spans="2:15" ht="22" customHeight="1" x14ac:dyDescent="0.35">
      <c r="B31" s="5"/>
      <c r="C31" s="2" t="s">
        <v>7</v>
      </c>
      <c r="D31" s="72" t="s">
        <v>59</v>
      </c>
      <c r="E31" s="72" t="s">
        <v>59</v>
      </c>
      <c r="F31" s="2"/>
      <c r="G31" s="33">
        <v>18</v>
      </c>
      <c r="H31" s="73">
        <v>12000</v>
      </c>
      <c r="I31" s="74">
        <f t="shared" si="1"/>
        <v>216000</v>
      </c>
    </row>
    <row r="32" spans="2:15" ht="22" customHeight="1" x14ac:dyDescent="0.35">
      <c r="B32" s="5"/>
      <c r="C32" s="2" t="s">
        <v>8</v>
      </c>
      <c r="D32" s="72" t="s">
        <v>59</v>
      </c>
      <c r="E32" s="72" t="s">
        <v>59</v>
      </c>
      <c r="F32" s="2"/>
      <c r="G32" s="33">
        <v>6</v>
      </c>
      <c r="H32" s="73">
        <v>4000</v>
      </c>
      <c r="I32" s="74">
        <f t="shared" si="1"/>
        <v>24000</v>
      </c>
    </row>
    <row r="33" spans="2:15" ht="22" customHeight="1" x14ac:dyDescent="0.35">
      <c r="B33" s="5"/>
      <c r="C33" s="2" t="s">
        <v>9</v>
      </c>
      <c r="D33" s="72" t="s">
        <v>59</v>
      </c>
      <c r="E33" s="72" t="s">
        <v>59</v>
      </c>
      <c r="F33" s="2"/>
      <c r="G33" s="33">
        <v>7</v>
      </c>
      <c r="H33" s="73">
        <v>3000</v>
      </c>
      <c r="I33" s="74">
        <f t="shared" si="1"/>
        <v>21000</v>
      </c>
    </row>
    <row r="35" spans="2:15" ht="45" customHeight="1" x14ac:dyDescent="0.35">
      <c r="B35" s="56" t="s">
        <v>36</v>
      </c>
      <c r="C35" s="57"/>
      <c r="D35" s="57"/>
      <c r="E35" s="57"/>
      <c r="F35" s="57"/>
      <c r="G35" s="57"/>
      <c r="H35" s="57"/>
      <c r="I35" s="57"/>
      <c r="J35" s="30"/>
      <c r="K35" s="30"/>
      <c r="L35" s="30"/>
      <c r="M35" s="30"/>
      <c r="N35" s="30"/>
      <c r="O35" s="30"/>
    </row>
    <row r="36" spans="2:15" ht="45" customHeight="1" x14ac:dyDescent="0.35">
      <c r="B36" s="32" t="s">
        <v>52</v>
      </c>
      <c r="C36" s="32" t="s">
        <v>42</v>
      </c>
      <c r="D36" s="32" t="s">
        <v>53</v>
      </c>
      <c r="E36" s="32" t="s">
        <v>54</v>
      </c>
      <c r="F36" s="32" t="s">
        <v>55</v>
      </c>
      <c r="G36" s="32" t="s">
        <v>56</v>
      </c>
      <c r="H36" s="32" t="s">
        <v>57</v>
      </c>
      <c r="I36" s="32" t="s">
        <v>58</v>
      </c>
    </row>
    <row r="37" spans="2:15" ht="22" customHeight="1" x14ac:dyDescent="0.35">
      <c r="B37" s="5">
        <v>1245</v>
      </c>
      <c r="C37" s="2" t="s">
        <v>0</v>
      </c>
      <c r="D37" s="72" t="s">
        <v>59</v>
      </c>
      <c r="E37" s="72" t="s">
        <v>59</v>
      </c>
      <c r="F37" s="2" t="s">
        <v>60</v>
      </c>
      <c r="G37" s="33">
        <v>1</v>
      </c>
      <c r="H37" s="73">
        <v>15000</v>
      </c>
      <c r="I37" s="74">
        <f>G37*H37</f>
        <v>15000</v>
      </c>
    </row>
    <row r="38" spans="2:15" ht="22" customHeight="1" x14ac:dyDescent="0.35">
      <c r="B38" s="5"/>
      <c r="C38" s="2" t="s">
        <v>1</v>
      </c>
      <c r="D38" s="72" t="s">
        <v>59</v>
      </c>
      <c r="E38" s="72" t="s">
        <v>59</v>
      </c>
      <c r="F38" s="2"/>
      <c r="G38" s="33">
        <v>30</v>
      </c>
      <c r="H38" s="73">
        <v>14000</v>
      </c>
      <c r="I38" s="74">
        <f t="shared" ref="I38:I46" si="2">G38*H38</f>
        <v>420000</v>
      </c>
    </row>
    <row r="39" spans="2:15" ht="22" customHeight="1" x14ac:dyDescent="0.35">
      <c r="B39" s="5"/>
      <c r="C39" s="2" t="s">
        <v>2</v>
      </c>
      <c r="D39" s="72" t="s">
        <v>59</v>
      </c>
      <c r="E39" s="72" t="s">
        <v>59</v>
      </c>
      <c r="F39" s="2"/>
      <c r="G39" s="33">
        <v>8</v>
      </c>
      <c r="H39" s="73">
        <v>6000</v>
      </c>
      <c r="I39" s="74">
        <f t="shared" si="2"/>
        <v>48000</v>
      </c>
    </row>
    <row r="40" spans="2:15" ht="22" customHeight="1" x14ac:dyDescent="0.35">
      <c r="B40" s="5"/>
      <c r="C40" s="2" t="s">
        <v>3</v>
      </c>
      <c r="D40" s="72" t="s">
        <v>59</v>
      </c>
      <c r="E40" s="72" t="s">
        <v>59</v>
      </c>
      <c r="F40" s="2"/>
      <c r="G40" s="33">
        <v>5</v>
      </c>
      <c r="H40" s="73">
        <v>6000</v>
      </c>
      <c r="I40" s="74">
        <f t="shared" si="2"/>
        <v>30000</v>
      </c>
    </row>
    <row r="41" spans="2:15" ht="22" customHeight="1" x14ac:dyDescent="0.35">
      <c r="B41" s="5"/>
      <c r="C41" s="2" t="s">
        <v>4</v>
      </c>
      <c r="D41" s="72" t="s">
        <v>59</v>
      </c>
      <c r="E41" s="72" t="s">
        <v>59</v>
      </c>
      <c r="F41" s="2"/>
      <c r="G41" s="33">
        <v>12</v>
      </c>
      <c r="H41" s="73">
        <v>11000</v>
      </c>
      <c r="I41" s="74">
        <f t="shared" si="2"/>
        <v>132000</v>
      </c>
    </row>
    <row r="42" spans="2:15" ht="22" customHeight="1" x14ac:dyDescent="0.35">
      <c r="B42" s="5"/>
      <c r="C42" s="2" t="s">
        <v>5</v>
      </c>
      <c r="D42" s="72" t="s">
        <v>59</v>
      </c>
      <c r="E42" s="72" t="s">
        <v>59</v>
      </c>
      <c r="F42" s="2"/>
      <c r="G42" s="33">
        <v>25</v>
      </c>
      <c r="H42" s="73">
        <v>6000</v>
      </c>
      <c r="I42" s="74">
        <f t="shared" si="2"/>
        <v>150000</v>
      </c>
    </row>
    <row r="43" spans="2:15" ht="22" customHeight="1" x14ac:dyDescent="0.35">
      <c r="B43" s="5"/>
      <c r="C43" s="2" t="s">
        <v>6</v>
      </c>
      <c r="D43" s="72" t="s">
        <v>59</v>
      </c>
      <c r="E43" s="72" t="s">
        <v>59</v>
      </c>
      <c r="F43" s="2"/>
      <c r="G43" s="33">
        <v>6</v>
      </c>
      <c r="H43" s="73">
        <v>6000</v>
      </c>
      <c r="I43" s="74">
        <f t="shared" si="2"/>
        <v>36000</v>
      </c>
    </row>
    <row r="44" spans="2:15" ht="22" customHeight="1" x14ac:dyDescent="0.35">
      <c r="B44" s="5"/>
      <c r="C44" s="2" t="s">
        <v>7</v>
      </c>
      <c r="D44" s="72" t="s">
        <v>59</v>
      </c>
      <c r="E44" s="72" t="s">
        <v>59</v>
      </c>
      <c r="F44" s="2"/>
      <c r="G44" s="33">
        <v>32</v>
      </c>
      <c r="H44" s="73">
        <v>12000</v>
      </c>
      <c r="I44" s="74">
        <f t="shared" si="2"/>
        <v>384000</v>
      </c>
    </row>
    <row r="45" spans="2:15" ht="22" customHeight="1" x14ac:dyDescent="0.35">
      <c r="B45" s="5"/>
      <c r="C45" s="2" t="s">
        <v>8</v>
      </c>
      <c r="D45" s="72" t="s">
        <v>59</v>
      </c>
      <c r="E45" s="72" t="s">
        <v>59</v>
      </c>
      <c r="F45" s="2"/>
      <c r="G45" s="33">
        <v>15</v>
      </c>
      <c r="H45" s="73">
        <v>4000</v>
      </c>
      <c r="I45" s="74">
        <f t="shared" si="2"/>
        <v>60000</v>
      </c>
    </row>
    <row r="46" spans="2:15" ht="22" customHeight="1" x14ac:dyDescent="0.35">
      <c r="B46" s="5"/>
      <c r="C46" s="2" t="s">
        <v>9</v>
      </c>
      <c r="D46" s="72" t="s">
        <v>59</v>
      </c>
      <c r="E46" s="72" t="s">
        <v>59</v>
      </c>
      <c r="F46" s="2"/>
      <c r="G46" s="33">
        <v>3</v>
      </c>
      <c r="H46" s="73">
        <v>3000</v>
      </c>
      <c r="I46" s="74">
        <f t="shared" si="2"/>
        <v>9000</v>
      </c>
    </row>
    <row r="48" spans="2:15" ht="45" customHeight="1" x14ac:dyDescent="0.35">
      <c r="B48" s="56" t="s">
        <v>37</v>
      </c>
      <c r="C48" s="57"/>
      <c r="D48" s="57"/>
      <c r="E48" s="57"/>
      <c r="F48" s="57"/>
      <c r="G48" s="57"/>
      <c r="H48" s="57"/>
      <c r="I48" s="57"/>
      <c r="J48" s="30"/>
      <c r="K48" s="30"/>
      <c r="L48" s="30"/>
      <c r="M48" s="30"/>
      <c r="N48" s="30"/>
      <c r="O48" s="30"/>
    </row>
    <row r="49" spans="2:9" ht="45" customHeight="1" x14ac:dyDescent="0.35">
      <c r="B49" s="32" t="s">
        <v>52</v>
      </c>
      <c r="C49" s="32" t="s">
        <v>42</v>
      </c>
      <c r="D49" s="32" t="s">
        <v>53</v>
      </c>
      <c r="E49" s="32" t="s">
        <v>54</v>
      </c>
      <c r="F49" s="32" t="s">
        <v>55</v>
      </c>
      <c r="G49" s="32" t="s">
        <v>56</v>
      </c>
      <c r="H49" s="32" t="s">
        <v>57</v>
      </c>
      <c r="I49" s="32" t="s">
        <v>58</v>
      </c>
    </row>
    <row r="50" spans="2:9" ht="22" customHeight="1" x14ac:dyDescent="0.35">
      <c r="B50" s="5">
        <v>1245</v>
      </c>
      <c r="C50" s="2" t="s">
        <v>0</v>
      </c>
      <c r="D50" s="72" t="s">
        <v>59</v>
      </c>
      <c r="E50" s="72" t="s">
        <v>59</v>
      </c>
      <c r="F50" s="2" t="s">
        <v>60</v>
      </c>
      <c r="G50" s="33">
        <v>22</v>
      </c>
      <c r="H50" s="73">
        <v>15000</v>
      </c>
      <c r="I50" s="74">
        <f>G50*H50</f>
        <v>330000</v>
      </c>
    </row>
    <row r="51" spans="2:9" ht="22" customHeight="1" x14ac:dyDescent="0.35">
      <c r="B51" s="5"/>
      <c r="C51" s="2" t="s">
        <v>1</v>
      </c>
      <c r="D51" s="72" t="s">
        <v>59</v>
      </c>
      <c r="E51" s="72" t="s">
        <v>59</v>
      </c>
      <c r="F51" s="2"/>
      <c r="G51" s="33">
        <v>10</v>
      </c>
      <c r="H51" s="73">
        <v>14000</v>
      </c>
      <c r="I51" s="74">
        <f t="shared" ref="I51:I59" si="3">G51*H51</f>
        <v>140000</v>
      </c>
    </row>
    <row r="52" spans="2:9" ht="22" customHeight="1" x14ac:dyDescent="0.35">
      <c r="B52" s="5"/>
      <c r="C52" s="2" t="s">
        <v>2</v>
      </c>
      <c r="D52" s="72" t="s">
        <v>59</v>
      </c>
      <c r="E52" s="72" t="s">
        <v>59</v>
      </c>
      <c r="F52" s="2"/>
      <c r="G52" s="33">
        <v>10</v>
      </c>
      <c r="H52" s="73">
        <v>6000</v>
      </c>
      <c r="I52" s="74">
        <f t="shared" si="3"/>
        <v>60000</v>
      </c>
    </row>
    <row r="53" spans="2:9" ht="22" customHeight="1" x14ac:dyDescent="0.35">
      <c r="B53" s="5"/>
      <c r="C53" s="2" t="s">
        <v>3</v>
      </c>
      <c r="D53" s="72" t="s">
        <v>59</v>
      </c>
      <c r="E53" s="72" t="s">
        <v>59</v>
      </c>
      <c r="F53" s="2"/>
      <c r="G53" s="33">
        <v>10</v>
      </c>
      <c r="H53" s="73">
        <v>6000</v>
      </c>
      <c r="I53" s="74">
        <f t="shared" si="3"/>
        <v>60000</v>
      </c>
    </row>
    <row r="54" spans="2:9" ht="22" customHeight="1" x14ac:dyDescent="0.35">
      <c r="B54" s="5"/>
      <c r="C54" s="2" t="s">
        <v>4</v>
      </c>
      <c r="D54" s="72" t="s">
        <v>59</v>
      </c>
      <c r="E54" s="72" t="s">
        <v>59</v>
      </c>
      <c r="F54" s="2"/>
      <c r="G54" s="33">
        <v>24</v>
      </c>
      <c r="H54" s="73">
        <v>11000</v>
      </c>
      <c r="I54" s="74">
        <f t="shared" si="3"/>
        <v>264000</v>
      </c>
    </row>
    <row r="55" spans="2:9" ht="22" customHeight="1" x14ac:dyDescent="0.35">
      <c r="B55" s="5"/>
      <c r="C55" s="2" t="s">
        <v>5</v>
      </c>
      <c r="D55" s="72" t="s">
        <v>59</v>
      </c>
      <c r="E55" s="72" t="s">
        <v>59</v>
      </c>
      <c r="F55" s="2"/>
      <c r="G55" s="33">
        <v>15</v>
      </c>
      <c r="H55" s="73">
        <v>6000</v>
      </c>
      <c r="I55" s="74">
        <f t="shared" si="3"/>
        <v>90000</v>
      </c>
    </row>
    <row r="56" spans="2:9" ht="22" customHeight="1" x14ac:dyDescent="0.35">
      <c r="B56" s="5"/>
      <c r="C56" s="2" t="s">
        <v>6</v>
      </c>
      <c r="D56" s="72" t="s">
        <v>59</v>
      </c>
      <c r="E56" s="72" t="s">
        <v>59</v>
      </c>
      <c r="F56" s="2"/>
      <c r="G56" s="33">
        <v>12</v>
      </c>
      <c r="H56" s="73">
        <v>6000</v>
      </c>
      <c r="I56" s="74">
        <f t="shared" si="3"/>
        <v>72000</v>
      </c>
    </row>
    <row r="57" spans="2:9" ht="22" customHeight="1" x14ac:dyDescent="0.35">
      <c r="B57" s="5"/>
      <c r="C57" s="2" t="s">
        <v>7</v>
      </c>
      <c r="D57" s="72" t="s">
        <v>59</v>
      </c>
      <c r="E57" s="72" t="s">
        <v>59</v>
      </c>
      <c r="F57" s="2"/>
      <c r="G57" s="33">
        <v>22</v>
      </c>
      <c r="H57" s="73">
        <v>12000</v>
      </c>
      <c r="I57" s="74">
        <f t="shared" si="3"/>
        <v>264000</v>
      </c>
    </row>
    <row r="58" spans="2:9" ht="22" customHeight="1" x14ac:dyDescent="0.35">
      <c r="B58" s="5"/>
      <c r="C58" s="2" t="s">
        <v>8</v>
      </c>
      <c r="D58" s="72" t="s">
        <v>59</v>
      </c>
      <c r="E58" s="72" t="s">
        <v>59</v>
      </c>
      <c r="F58" s="2"/>
      <c r="G58" s="33">
        <v>6</v>
      </c>
      <c r="H58" s="73">
        <v>4000</v>
      </c>
      <c r="I58" s="74">
        <f t="shared" si="3"/>
        <v>24000</v>
      </c>
    </row>
    <row r="59" spans="2:9" ht="22" customHeight="1" x14ac:dyDescent="0.35">
      <c r="B59" s="5"/>
      <c r="C59" s="2" t="s">
        <v>9</v>
      </c>
      <c r="D59" s="72" t="s">
        <v>59</v>
      </c>
      <c r="E59" s="72" t="s">
        <v>59</v>
      </c>
      <c r="F59" s="2"/>
      <c r="G59" s="33">
        <v>9</v>
      </c>
      <c r="H59" s="73">
        <v>3000</v>
      </c>
      <c r="I59" s="74">
        <f t="shared" si="3"/>
        <v>27000</v>
      </c>
    </row>
  </sheetData>
  <mergeCells count="12">
    <mergeCell ref="B48:I48"/>
    <mergeCell ref="B4:C4"/>
    <mergeCell ref="F4:G4"/>
    <mergeCell ref="B5:C5"/>
    <mergeCell ref="F5:G5"/>
    <mergeCell ref="B6:C6"/>
    <mergeCell ref="F6:G6"/>
    <mergeCell ref="B7:C7"/>
    <mergeCell ref="F7:G7"/>
    <mergeCell ref="B9:I9"/>
    <mergeCell ref="B22:I22"/>
    <mergeCell ref="B35:I35"/>
  </mergeCells>
  <phoneticPr fontId="2" type="noConversion"/>
  <conditionalFormatting sqref="H10:I10">
    <cfRule type="expression" dxfId="51" priority="26">
      <formula>_xlfn.RANK.EQ($G10,$G$15:$G$22)&lt;=5</formula>
    </cfRule>
  </conditionalFormatting>
  <conditionalFormatting sqref="H23:I23">
    <cfRule type="expression" dxfId="5" priority="3">
      <formula>_xlfn.RANK.EQ($G23,$G$15:$G$22)&lt;=5</formula>
    </cfRule>
  </conditionalFormatting>
  <conditionalFormatting sqref="H36:I36">
    <cfRule type="expression" dxfId="4" priority="2">
      <formula>_xlfn.RANK.EQ($G36,$G$15:$G$22)&lt;=5</formula>
    </cfRule>
  </conditionalFormatting>
  <conditionalFormatting sqref="H49:I49">
    <cfRule type="expression" dxfId="3" priority="1">
      <formula>_xlfn.RANK.EQ($G49,$G$15:$G$22)&lt;=5</formula>
    </cfRule>
  </conditionalFormatting>
  <pageMargins left="0.7" right="0.7" top="0.75" bottom="0.75" header="0.3" footer="0.3"/>
  <pageSetup scale="50" fitToHeight="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100B0-228A-4B92-986C-DF7520E6CE50}">
  <sheetPr>
    <tabColor theme="5" tint="0.79998168889431442"/>
    <pageSetUpPr fitToPage="1"/>
  </sheetPr>
  <dimension ref="B1:U60"/>
  <sheetViews>
    <sheetView showGridLines="0" zoomScale="55" zoomScaleNormal="55" workbookViewId="0">
      <selection activeCell="O1" sqref="O1"/>
    </sheetView>
  </sheetViews>
  <sheetFormatPr defaultColWidth="8.81640625" defaultRowHeight="14.5" x14ac:dyDescent="0.35"/>
  <cols>
    <col min="1" max="1" width="3.6328125" customWidth="1"/>
    <col min="2" max="2" width="15.6328125" customWidth="1"/>
    <col min="3" max="3" width="18.453125" customWidth="1"/>
    <col min="4" max="4" width="22.6328125" customWidth="1"/>
    <col min="5" max="5" width="17" customWidth="1"/>
    <col min="6" max="6" width="22.36328125" customWidth="1"/>
    <col min="7" max="9" width="15.6328125" customWidth="1"/>
    <col min="10" max="10" width="3.6328125" customWidth="1"/>
    <col min="11" max="11" width="8.6328125" customWidth="1"/>
    <col min="12" max="12" width="15.6328125" customWidth="1"/>
    <col min="13" max="13" width="3.6328125" customWidth="1"/>
    <col min="14" max="14" width="8.6328125" customWidth="1"/>
    <col min="15" max="15" width="15.6328125" customWidth="1"/>
    <col min="16" max="16" width="3.6328125" customWidth="1"/>
    <col min="17" max="17" width="8.6328125" customWidth="1"/>
    <col min="18" max="18" width="15.6328125" customWidth="1"/>
    <col min="19" max="19" width="3.6328125" customWidth="1"/>
    <col min="21" max="21" width="15.6328125" customWidth="1"/>
    <col min="22" max="22" width="3.6328125" customWidth="1"/>
  </cols>
  <sheetData>
    <row r="1" spans="2:21" ht="59.25" customHeight="1" x14ac:dyDescent="0.8">
      <c r="B1" s="26" t="s">
        <v>41</v>
      </c>
    </row>
    <row r="2" spans="2:21" ht="39" customHeight="1" x14ac:dyDescent="0.45">
      <c r="B2" s="27" t="s">
        <v>68</v>
      </c>
      <c r="F2" s="27" t="s">
        <v>69</v>
      </c>
      <c r="K2" s="27" t="s">
        <v>70</v>
      </c>
    </row>
    <row r="3" spans="2:21" ht="22" customHeight="1" x14ac:dyDescent="0.35">
      <c r="B3" s="28" t="s">
        <v>40</v>
      </c>
      <c r="F3" s="28" t="s">
        <v>40</v>
      </c>
      <c r="K3" s="28" t="s">
        <v>40</v>
      </c>
    </row>
    <row r="4" spans="2:21" ht="35.25" customHeight="1" x14ac:dyDescent="0.35">
      <c r="B4" s="53" t="s">
        <v>34</v>
      </c>
      <c r="C4" s="54"/>
      <c r="D4" s="77">
        <f>SUM(I12:I21)</f>
        <v>5069000</v>
      </c>
      <c r="F4" s="53" t="s">
        <v>34</v>
      </c>
      <c r="G4" s="54"/>
      <c r="H4" s="37">
        <f>SUM(G12:G21)</f>
        <v>128</v>
      </c>
      <c r="K4" s="59" t="s">
        <v>26</v>
      </c>
      <c r="L4" s="37" t="str" cm="1">
        <f t="array" ref="L4">INDEX($C$12:$C$21, MATCH(LARGE($G$12:$G$21, ROW(1:1)), $G$12:$G$21, 0))</f>
        <v>Item 5</v>
      </c>
      <c r="N4" s="59" t="s">
        <v>27</v>
      </c>
      <c r="O4" s="37" t="str" cm="1">
        <f t="array" ref="O4">INDEX($C$25:$C$34, MATCH(LARGE($G$25:$G$34, ROW(1:1)), $G$25:$G$34, 0))</f>
        <v>Item 7</v>
      </c>
      <c r="Q4" s="59" t="s">
        <v>28</v>
      </c>
      <c r="R4" s="37" t="str" cm="1">
        <f t="array" ref="R4">INDEX($C$38:$C$47, MATCH(LARGE($G$38:$G$47, ROW(1:1)), $G$38:$G$47, 0))</f>
        <v>Item 1</v>
      </c>
      <c r="T4" s="59" t="s">
        <v>29</v>
      </c>
      <c r="U4" s="37" t="str" cm="1">
        <f t="array" ref="U4">INDEX($C$51:$C$60, MATCH(LARGE($G$51:$G$60, ROW(1:1)), $G$51:$G$60, 0))</f>
        <v>Item 8</v>
      </c>
    </row>
    <row r="5" spans="2:21" ht="35.25" customHeight="1" x14ac:dyDescent="0.35">
      <c r="B5" s="53" t="s">
        <v>35</v>
      </c>
      <c r="C5" s="54"/>
      <c r="D5" s="77">
        <f>SUM(I25:I34)</f>
        <v>3610000</v>
      </c>
      <c r="F5" s="53" t="s">
        <v>35</v>
      </c>
      <c r="G5" s="54"/>
      <c r="H5" s="37">
        <f>SUM(G25:G34)</f>
        <v>117</v>
      </c>
      <c r="K5" s="60"/>
      <c r="L5" s="37" t="str" cm="1">
        <f t="array" ref="L5">INDEX($C$12:$C$21, MATCH(LARGE($G$12:$G$21, ROW(2:2)), $G$12:$G$21, 0))</f>
        <v>Item 8</v>
      </c>
      <c r="N5" s="60"/>
      <c r="O5" s="37" t="str" cm="1">
        <f t="array" ref="O5">INDEX($C$25:$C$34, MATCH(LARGE($G$25:$G$34, ROW(2:2)), $G$25:$G$34, 0))</f>
        <v>Item 8</v>
      </c>
      <c r="Q5" s="60"/>
      <c r="R5" s="37" t="str" cm="1">
        <f t="array" ref="R5">INDEX($C$38:$C$47, MATCH(LARGE($G$38:$G$47, ROW(2:2)), $G$38:$G$47, 0))</f>
        <v>Item 2</v>
      </c>
      <c r="T5" s="60"/>
      <c r="U5" s="37" t="str" cm="1">
        <f t="array" ref="U5">INDEX($C$51:$C$60, MATCH(LARGE($G$51:$G$60, ROW(2:2)), $G$51:$G$60, 0))</f>
        <v>Item 6</v>
      </c>
    </row>
    <row r="6" spans="2:21" ht="35.25" customHeight="1" x14ac:dyDescent="0.35">
      <c r="B6" s="53" t="s">
        <v>36</v>
      </c>
      <c r="C6" s="54"/>
      <c r="D6" s="77">
        <f>SUM(I38:I47)</f>
        <v>5844000</v>
      </c>
      <c r="F6" s="53" t="s">
        <v>36</v>
      </c>
      <c r="G6" s="54"/>
      <c r="H6" s="37">
        <f>SUM(G38:G47)</f>
        <v>153</v>
      </c>
      <c r="K6" s="60"/>
      <c r="L6" s="37" t="str" cm="1">
        <f t="array" ref="L6">INDEX($C$12:$C$21, MATCH(LARGE($G$12:$G$21, ROW(3:3)), $G$12:$G$21, 0))</f>
        <v>Item 2</v>
      </c>
      <c r="N6" s="60"/>
      <c r="O6" s="37" t="str" cm="1">
        <f t="array" ref="O6">INDEX($C$25:$C$34, MATCH(LARGE($G$25:$G$34, ROW(3:3)), $G$25:$G$34, 0))</f>
        <v>Item 5</v>
      </c>
      <c r="Q6" s="60"/>
      <c r="R6" s="37" t="str" cm="1">
        <f t="array" ref="R6">INDEX($C$38:$C$47, MATCH(LARGE($G$38:$G$47, ROW(3:3)), $G$38:$G$47, 0))</f>
        <v>Item 6</v>
      </c>
      <c r="T6" s="60"/>
      <c r="U6" s="37" t="str" cm="1">
        <f t="array" ref="U6">INDEX($C$51:$C$60, MATCH(LARGE($G$51:$G$60, ROW(3:3)), $G$51:$G$60, 0))</f>
        <v>Item 2</v>
      </c>
    </row>
    <row r="7" spans="2:21" ht="35.25" customHeight="1" x14ac:dyDescent="0.35">
      <c r="B7" s="53" t="s">
        <v>37</v>
      </c>
      <c r="C7" s="54"/>
      <c r="D7" s="77">
        <f>SUM(I51:I60)</f>
        <v>3294000</v>
      </c>
      <c r="F7" s="53" t="s">
        <v>37</v>
      </c>
      <c r="G7" s="54"/>
      <c r="H7" s="37">
        <f>SUM(G51:G60)</f>
        <v>98</v>
      </c>
      <c r="K7" s="60"/>
      <c r="L7" s="37" t="str" cm="1">
        <f t="array" ref="L7">INDEX($C$12:$C$21, MATCH(LARGE($G$12:$G$21, ROW(4:4)), $G$12:$G$21, 0))</f>
        <v>Item 6</v>
      </c>
      <c r="N7" s="60"/>
      <c r="O7" s="37" t="str" cm="1">
        <f t="array" ref="O7">INDEX($C$25:$C$34, MATCH(LARGE($G$25:$G$34, ROW(4:4)), $G$25:$G$34, 0))</f>
        <v>Item 6</v>
      </c>
      <c r="Q7" s="60"/>
      <c r="R7" s="37" t="str" cm="1">
        <f t="array" ref="R7">INDEX($C$38:$C$47, MATCH(LARGE($G$38:$G$47, ROW(4:4)), $G$38:$G$47, 0))</f>
        <v>Item 5</v>
      </c>
      <c r="T7" s="60"/>
      <c r="U7" s="37" t="str" cm="1">
        <f t="array" ref="U7">INDEX($C$51:$C$60, MATCH(LARGE($G$51:$G$60, ROW(4:4)), $G$51:$G$60, 0))</f>
        <v>Item 2</v>
      </c>
    </row>
    <row r="8" spans="2:21" ht="35.25" customHeight="1" x14ac:dyDescent="0.35">
      <c r="K8" s="60"/>
      <c r="L8" s="37" t="str" cm="1">
        <f t="array" ref="L8">INDEX($C$12:$C$21, MATCH(LARGE($G$12:$G$21, ROW(5:5)), $G$12:$G$21, 0))</f>
        <v>Item 7</v>
      </c>
      <c r="N8" s="60"/>
      <c r="O8" s="37" t="str" cm="1">
        <f t="array" ref="O8">INDEX($C$25:$C$34, MATCH(LARGE($G$25:$G$34, ROW(5:5)), $G$25:$G$34, 0))</f>
        <v>Item 10</v>
      </c>
      <c r="Q8" s="60"/>
      <c r="R8" s="37" t="str" cm="1">
        <f t="array" ref="R8">INDEX($C$38:$C$47, MATCH(LARGE($G$38:$G$47, ROW(5:5)), $G$38:$G$47, 0))</f>
        <v>Item 7</v>
      </c>
      <c r="T8" s="60"/>
      <c r="U8" s="37" t="str" cm="1">
        <f t="array" ref="U8">INDEX($C$51:$C$60, MATCH(LARGE($G$51:$G$60, ROW(5:5)), $G$51:$G$60, 0))</f>
        <v>Item 10</v>
      </c>
    </row>
    <row r="9" spans="2:21" x14ac:dyDescent="0.35">
      <c r="B9" s="28"/>
    </row>
    <row r="10" spans="2:21" ht="45" customHeight="1" x14ac:dyDescent="0.35">
      <c r="B10" s="61" t="s">
        <v>34</v>
      </c>
      <c r="C10" s="62"/>
      <c r="D10" s="62"/>
      <c r="E10" s="62"/>
      <c r="F10" s="62"/>
      <c r="G10" s="62"/>
      <c r="H10" s="62"/>
      <c r="I10" s="62"/>
      <c r="K10" s="30"/>
      <c r="L10" s="30"/>
      <c r="M10" s="30"/>
      <c r="N10" s="30"/>
      <c r="O10" s="30"/>
    </row>
    <row r="11" spans="2:21" ht="45" customHeight="1" x14ac:dyDescent="0.35">
      <c r="B11" s="35" t="s">
        <v>71</v>
      </c>
      <c r="C11" s="36" t="s">
        <v>72</v>
      </c>
      <c r="D11" s="35" t="s">
        <v>73</v>
      </c>
      <c r="E11" s="35" t="s">
        <v>74</v>
      </c>
      <c r="F11" s="36" t="s">
        <v>75</v>
      </c>
      <c r="G11" s="35" t="s">
        <v>76</v>
      </c>
      <c r="H11" s="35" t="s">
        <v>77</v>
      </c>
      <c r="I11" s="35" t="s">
        <v>78</v>
      </c>
    </row>
    <row r="12" spans="2:21" ht="22" customHeight="1" x14ac:dyDescent="0.35">
      <c r="B12" s="5">
        <v>1245</v>
      </c>
      <c r="C12" s="2" t="s">
        <v>0</v>
      </c>
      <c r="D12" s="34" t="s">
        <v>59</v>
      </c>
      <c r="E12" s="34" t="s">
        <v>59</v>
      </c>
      <c r="F12" s="2" t="s">
        <v>16</v>
      </c>
      <c r="G12" s="33">
        <v>10</v>
      </c>
      <c r="H12" s="73">
        <v>50000</v>
      </c>
      <c r="I12" s="74">
        <f>G12*H12</f>
        <v>500000</v>
      </c>
    </row>
    <row r="13" spans="2:21" ht="22" customHeight="1" x14ac:dyDescent="0.35">
      <c r="B13" s="5"/>
      <c r="C13" s="2" t="s">
        <v>1</v>
      </c>
      <c r="D13" s="34" t="s">
        <v>59</v>
      </c>
      <c r="E13" s="34" t="s">
        <v>59</v>
      </c>
      <c r="F13" s="2" t="s">
        <v>17</v>
      </c>
      <c r="G13" s="33">
        <v>17</v>
      </c>
      <c r="H13" s="73">
        <v>65000</v>
      </c>
      <c r="I13" s="74">
        <f t="shared" ref="I13:I21" si="0">G13*H13</f>
        <v>1105000</v>
      </c>
    </row>
    <row r="14" spans="2:21" ht="22" customHeight="1" x14ac:dyDescent="0.35">
      <c r="B14" s="5"/>
      <c r="C14" s="2" t="s">
        <v>2</v>
      </c>
      <c r="D14" s="34" t="s">
        <v>59</v>
      </c>
      <c r="E14" s="34" t="s">
        <v>59</v>
      </c>
      <c r="F14" s="2" t="s">
        <v>18</v>
      </c>
      <c r="G14" s="33">
        <v>8</v>
      </c>
      <c r="H14" s="73">
        <v>25000</v>
      </c>
      <c r="I14" s="74">
        <f t="shared" si="0"/>
        <v>200000</v>
      </c>
    </row>
    <row r="15" spans="2:21" ht="22" customHeight="1" x14ac:dyDescent="0.35">
      <c r="B15" s="5"/>
      <c r="C15" s="2" t="s">
        <v>3</v>
      </c>
      <c r="D15" s="34" t="s">
        <v>59</v>
      </c>
      <c r="E15" s="34" t="s">
        <v>59</v>
      </c>
      <c r="F15" s="2" t="s">
        <v>19</v>
      </c>
      <c r="G15" s="33">
        <v>5</v>
      </c>
      <c r="H15" s="73">
        <v>25000</v>
      </c>
      <c r="I15" s="74">
        <f t="shared" si="0"/>
        <v>125000</v>
      </c>
    </row>
    <row r="16" spans="2:21" ht="22" customHeight="1" x14ac:dyDescent="0.35">
      <c r="B16" s="5"/>
      <c r="C16" s="2" t="s">
        <v>4</v>
      </c>
      <c r="D16" s="34" t="s">
        <v>59</v>
      </c>
      <c r="E16" s="34" t="s">
        <v>59</v>
      </c>
      <c r="F16" s="2" t="s">
        <v>20</v>
      </c>
      <c r="G16" s="33">
        <v>24</v>
      </c>
      <c r="H16" s="73">
        <v>60000</v>
      </c>
      <c r="I16" s="74">
        <f t="shared" si="0"/>
        <v>1440000</v>
      </c>
    </row>
    <row r="17" spans="2:15" ht="22" customHeight="1" x14ac:dyDescent="0.35">
      <c r="B17" s="5"/>
      <c r="C17" s="2" t="s">
        <v>5</v>
      </c>
      <c r="D17" s="34" t="s">
        <v>59</v>
      </c>
      <c r="E17" s="34" t="s">
        <v>59</v>
      </c>
      <c r="F17" s="2" t="s">
        <v>21</v>
      </c>
      <c r="G17" s="33">
        <v>15</v>
      </c>
      <c r="H17" s="73">
        <v>15000</v>
      </c>
      <c r="I17" s="74">
        <f t="shared" si="0"/>
        <v>225000</v>
      </c>
    </row>
    <row r="18" spans="2:15" ht="22" customHeight="1" x14ac:dyDescent="0.35">
      <c r="B18" s="5"/>
      <c r="C18" s="2" t="s">
        <v>6</v>
      </c>
      <c r="D18" s="34" t="s">
        <v>59</v>
      </c>
      <c r="E18" s="34" t="s">
        <v>59</v>
      </c>
      <c r="F18" s="2" t="s">
        <v>22</v>
      </c>
      <c r="G18" s="33">
        <v>12</v>
      </c>
      <c r="H18" s="73">
        <v>12000</v>
      </c>
      <c r="I18" s="74">
        <f t="shared" si="0"/>
        <v>144000</v>
      </c>
    </row>
    <row r="19" spans="2:15" ht="22" customHeight="1" x14ac:dyDescent="0.35">
      <c r="B19" s="5"/>
      <c r="C19" s="2" t="s">
        <v>7</v>
      </c>
      <c r="D19" s="34" t="s">
        <v>59</v>
      </c>
      <c r="E19" s="34" t="s">
        <v>59</v>
      </c>
      <c r="F19" s="2" t="s">
        <v>23</v>
      </c>
      <c r="G19" s="33">
        <v>22</v>
      </c>
      <c r="H19" s="73">
        <v>55000</v>
      </c>
      <c r="I19" s="74">
        <f t="shared" si="0"/>
        <v>1210000</v>
      </c>
    </row>
    <row r="20" spans="2:15" ht="22" customHeight="1" x14ac:dyDescent="0.35">
      <c r="B20" s="5"/>
      <c r="C20" s="2" t="s">
        <v>8</v>
      </c>
      <c r="D20" s="34" t="s">
        <v>59</v>
      </c>
      <c r="E20" s="34" t="s">
        <v>59</v>
      </c>
      <c r="F20" s="2" t="s">
        <v>24</v>
      </c>
      <c r="G20" s="33">
        <v>6</v>
      </c>
      <c r="H20" s="73">
        <v>8000</v>
      </c>
      <c r="I20" s="74">
        <f t="shared" si="0"/>
        <v>48000</v>
      </c>
    </row>
    <row r="21" spans="2:15" ht="22" customHeight="1" x14ac:dyDescent="0.35">
      <c r="B21" s="5"/>
      <c r="C21" s="2" t="s">
        <v>9</v>
      </c>
      <c r="D21" s="34" t="s">
        <v>59</v>
      </c>
      <c r="E21" s="34" t="s">
        <v>59</v>
      </c>
      <c r="F21" s="2" t="s">
        <v>25</v>
      </c>
      <c r="G21" s="33">
        <v>9</v>
      </c>
      <c r="H21" s="73">
        <v>8000</v>
      </c>
      <c r="I21" s="74">
        <f t="shared" si="0"/>
        <v>72000</v>
      </c>
    </row>
    <row r="23" spans="2:15" ht="45" customHeight="1" x14ac:dyDescent="0.35">
      <c r="B23" s="61" t="s">
        <v>35</v>
      </c>
      <c r="C23" s="62"/>
      <c r="D23" s="62"/>
      <c r="E23" s="62"/>
      <c r="F23" s="62"/>
      <c r="G23" s="62"/>
      <c r="H23" s="62"/>
      <c r="I23" s="62"/>
      <c r="K23" s="30"/>
      <c r="L23" s="30"/>
      <c r="M23" s="30"/>
      <c r="N23" s="30"/>
      <c r="O23" s="30"/>
    </row>
    <row r="24" spans="2:15" ht="45" customHeight="1" x14ac:dyDescent="0.35">
      <c r="B24" s="35" t="s">
        <v>71</v>
      </c>
      <c r="C24" s="36" t="s">
        <v>72</v>
      </c>
      <c r="D24" s="35" t="s">
        <v>73</v>
      </c>
      <c r="E24" s="35" t="s">
        <v>74</v>
      </c>
      <c r="F24" s="36" t="s">
        <v>75</v>
      </c>
      <c r="G24" s="35" t="s">
        <v>76</v>
      </c>
      <c r="H24" s="35" t="s">
        <v>77</v>
      </c>
      <c r="I24" s="35" t="s">
        <v>78</v>
      </c>
    </row>
    <row r="25" spans="2:15" ht="22" customHeight="1" x14ac:dyDescent="0.35">
      <c r="B25" s="5">
        <v>1245</v>
      </c>
      <c r="C25" s="2" t="s">
        <v>0</v>
      </c>
      <c r="D25" s="34" t="s">
        <v>59</v>
      </c>
      <c r="E25" s="34" t="s">
        <v>59</v>
      </c>
      <c r="F25" s="2" t="s">
        <v>16</v>
      </c>
      <c r="G25" s="33">
        <v>7</v>
      </c>
      <c r="H25" s="73">
        <v>50000</v>
      </c>
      <c r="I25" s="74">
        <f>G25*H25</f>
        <v>350000</v>
      </c>
    </row>
    <row r="26" spans="2:15" ht="22" customHeight="1" x14ac:dyDescent="0.35">
      <c r="B26" s="5"/>
      <c r="C26" s="2" t="s">
        <v>1</v>
      </c>
      <c r="D26" s="34" t="s">
        <v>59</v>
      </c>
      <c r="E26" s="34" t="s">
        <v>59</v>
      </c>
      <c r="F26" s="2" t="s">
        <v>17</v>
      </c>
      <c r="G26" s="33">
        <v>6</v>
      </c>
      <c r="H26" s="73">
        <v>65000</v>
      </c>
      <c r="I26" s="74">
        <f t="shared" ref="I26:I34" si="1">G26*H26</f>
        <v>390000</v>
      </c>
    </row>
    <row r="27" spans="2:15" ht="22" customHeight="1" x14ac:dyDescent="0.35">
      <c r="B27" s="5"/>
      <c r="C27" s="2" t="s">
        <v>2</v>
      </c>
      <c r="D27" s="34" t="s">
        <v>59</v>
      </c>
      <c r="E27" s="34" t="s">
        <v>59</v>
      </c>
      <c r="F27" s="2" t="s">
        <v>18</v>
      </c>
      <c r="G27" s="33">
        <v>7</v>
      </c>
      <c r="H27" s="73">
        <v>25000</v>
      </c>
      <c r="I27" s="74">
        <f t="shared" si="1"/>
        <v>175000</v>
      </c>
    </row>
    <row r="28" spans="2:15" ht="22" customHeight="1" x14ac:dyDescent="0.35">
      <c r="B28" s="5"/>
      <c r="C28" s="2" t="s">
        <v>3</v>
      </c>
      <c r="D28" s="34" t="s">
        <v>59</v>
      </c>
      <c r="E28" s="34" t="s">
        <v>59</v>
      </c>
      <c r="F28" s="2" t="s">
        <v>19</v>
      </c>
      <c r="G28" s="33">
        <v>3</v>
      </c>
      <c r="H28" s="73">
        <v>25000</v>
      </c>
      <c r="I28" s="74">
        <f t="shared" si="1"/>
        <v>75000</v>
      </c>
    </row>
    <row r="29" spans="2:15" ht="22" customHeight="1" x14ac:dyDescent="0.35">
      <c r="B29" s="5"/>
      <c r="C29" s="2" t="s">
        <v>4</v>
      </c>
      <c r="D29" s="34" t="s">
        <v>59</v>
      </c>
      <c r="E29" s="34" t="s">
        <v>59</v>
      </c>
      <c r="F29" s="2" t="s">
        <v>20</v>
      </c>
      <c r="G29" s="33">
        <v>12</v>
      </c>
      <c r="H29" s="73">
        <v>60000</v>
      </c>
      <c r="I29" s="74">
        <f t="shared" si="1"/>
        <v>720000</v>
      </c>
    </row>
    <row r="30" spans="2:15" ht="22" customHeight="1" x14ac:dyDescent="0.35">
      <c r="B30" s="5"/>
      <c r="C30" s="2" t="s">
        <v>5</v>
      </c>
      <c r="D30" s="34" t="s">
        <v>59</v>
      </c>
      <c r="E30" s="34" t="s">
        <v>59</v>
      </c>
      <c r="F30" s="2" t="s">
        <v>21</v>
      </c>
      <c r="G30" s="33">
        <v>10</v>
      </c>
      <c r="H30" s="73">
        <v>15000</v>
      </c>
      <c r="I30" s="74">
        <f t="shared" si="1"/>
        <v>150000</v>
      </c>
    </row>
    <row r="31" spans="2:15" ht="22" customHeight="1" x14ac:dyDescent="0.35">
      <c r="B31" s="5"/>
      <c r="C31" s="2" t="s">
        <v>6</v>
      </c>
      <c r="D31" s="34" t="s">
        <v>59</v>
      </c>
      <c r="E31" s="34" t="s">
        <v>59</v>
      </c>
      <c r="F31" s="2" t="s">
        <v>22</v>
      </c>
      <c r="G31" s="33">
        <v>35</v>
      </c>
      <c r="H31" s="73">
        <v>12000</v>
      </c>
      <c r="I31" s="74">
        <f t="shared" si="1"/>
        <v>420000</v>
      </c>
    </row>
    <row r="32" spans="2:15" ht="22" customHeight="1" x14ac:dyDescent="0.35">
      <c r="B32" s="5"/>
      <c r="C32" s="2" t="s">
        <v>7</v>
      </c>
      <c r="D32" s="34" t="s">
        <v>59</v>
      </c>
      <c r="E32" s="34" t="s">
        <v>59</v>
      </c>
      <c r="F32" s="2" t="s">
        <v>23</v>
      </c>
      <c r="G32" s="33">
        <v>22</v>
      </c>
      <c r="H32" s="73">
        <v>55000</v>
      </c>
      <c r="I32" s="74">
        <f t="shared" si="1"/>
        <v>1210000</v>
      </c>
    </row>
    <row r="33" spans="2:15" ht="22" customHeight="1" x14ac:dyDescent="0.35">
      <c r="B33" s="5"/>
      <c r="C33" s="2" t="s">
        <v>8</v>
      </c>
      <c r="D33" s="34" t="s">
        <v>59</v>
      </c>
      <c r="E33" s="34" t="s">
        <v>59</v>
      </c>
      <c r="F33" s="2" t="s">
        <v>24</v>
      </c>
      <c r="G33" s="33">
        <v>6</v>
      </c>
      <c r="H33" s="73">
        <v>8000</v>
      </c>
      <c r="I33" s="74">
        <f t="shared" si="1"/>
        <v>48000</v>
      </c>
    </row>
    <row r="34" spans="2:15" ht="22" customHeight="1" x14ac:dyDescent="0.35">
      <c r="B34" s="5"/>
      <c r="C34" s="2" t="s">
        <v>9</v>
      </c>
      <c r="D34" s="34" t="s">
        <v>59</v>
      </c>
      <c r="E34" s="34" t="s">
        <v>59</v>
      </c>
      <c r="F34" s="2" t="s">
        <v>25</v>
      </c>
      <c r="G34" s="33">
        <v>9</v>
      </c>
      <c r="H34" s="73">
        <v>8000</v>
      </c>
      <c r="I34" s="74">
        <f t="shared" si="1"/>
        <v>72000</v>
      </c>
    </row>
    <row r="36" spans="2:15" ht="45" customHeight="1" x14ac:dyDescent="0.35">
      <c r="B36" s="61" t="s">
        <v>36</v>
      </c>
      <c r="C36" s="62"/>
      <c r="D36" s="62"/>
      <c r="E36" s="62"/>
      <c r="F36" s="62"/>
      <c r="G36" s="62"/>
      <c r="H36" s="62"/>
      <c r="I36" s="62"/>
      <c r="K36" s="30"/>
      <c r="L36" s="30"/>
      <c r="M36" s="30"/>
      <c r="N36" s="30"/>
      <c r="O36" s="30"/>
    </row>
    <row r="37" spans="2:15" ht="45" customHeight="1" x14ac:dyDescent="0.35">
      <c r="B37" s="35" t="s">
        <v>71</v>
      </c>
      <c r="C37" s="36" t="s">
        <v>72</v>
      </c>
      <c r="D37" s="35" t="s">
        <v>73</v>
      </c>
      <c r="E37" s="35" t="s">
        <v>74</v>
      </c>
      <c r="F37" s="36" t="s">
        <v>75</v>
      </c>
      <c r="G37" s="35" t="s">
        <v>76</v>
      </c>
      <c r="H37" s="35" t="s">
        <v>77</v>
      </c>
      <c r="I37" s="35" t="s">
        <v>78</v>
      </c>
    </row>
    <row r="38" spans="2:15" ht="22" customHeight="1" x14ac:dyDescent="0.35">
      <c r="B38" s="5">
        <v>1245</v>
      </c>
      <c r="C38" s="2" t="s">
        <v>0</v>
      </c>
      <c r="D38" s="34" t="s">
        <v>59</v>
      </c>
      <c r="E38" s="34" t="s">
        <v>59</v>
      </c>
      <c r="F38" s="2" t="s">
        <v>16</v>
      </c>
      <c r="G38" s="33">
        <v>45</v>
      </c>
      <c r="H38" s="73">
        <v>50000</v>
      </c>
      <c r="I38" s="74">
        <f>G38*H38</f>
        <v>2250000</v>
      </c>
    </row>
    <row r="39" spans="2:15" ht="22" customHeight="1" x14ac:dyDescent="0.35">
      <c r="B39" s="5"/>
      <c r="C39" s="2" t="s">
        <v>1</v>
      </c>
      <c r="D39" s="34" t="s">
        <v>59</v>
      </c>
      <c r="E39" s="34" t="s">
        <v>59</v>
      </c>
      <c r="F39" s="2" t="s">
        <v>17</v>
      </c>
      <c r="G39" s="33">
        <v>18</v>
      </c>
      <c r="H39" s="73">
        <v>65000</v>
      </c>
      <c r="I39" s="74">
        <f t="shared" ref="I39:I47" si="2">G39*H39</f>
        <v>1170000</v>
      </c>
    </row>
    <row r="40" spans="2:15" ht="22" customHeight="1" x14ac:dyDescent="0.35">
      <c r="B40" s="5"/>
      <c r="C40" s="2" t="s">
        <v>2</v>
      </c>
      <c r="D40" s="34" t="s">
        <v>59</v>
      </c>
      <c r="E40" s="34" t="s">
        <v>59</v>
      </c>
      <c r="F40" s="2" t="s">
        <v>18</v>
      </c>
      <c r="G40" s="33">
        <v>9</v>
      </c>
      <c r="H40" s="73">
        <v>25000</v>
      </c>
      <c r="I40" s="74">
        <f t="shared" si="2"/>
        <v>225000</v>
      </c>
    </row>
    <row r="41" spans="2:15" ht="22" customHeight="1" x14ac:dyDescent="0.35">
      <c r="B41" s="5"/>
      <c r="C41" s="2" t="s">
        <v>3</v>
      </c>
      <c r="D41" s="34" t="s">
        <v>59</v>
      </c>
      <c r="E41" s="34" t="s">
        <v>59</v>
      </c>
      <c r="F41" s="2" t="s">
        <v>19</v>
      </c>
      <c r="G41" s="33">
        <v>6</v>
      </c>
      <c r="H41" s="73">
        <v>25000</v>
      </c>
      <c r="I41" s="74">
        <f t="shared" si="2"/>
        <v>150000</v>
      </c>
    </row>
    <row r="42" spans="2:15" ht="22" customHeight="1" x14ac:dyDescent="0.35">
      <c r="B42" s="5"/>
      <c r="C42" s="2" t="s">
        <v>4</v>
      </c>
      <c r="D42" s="34" t="s">
        <v>59</v>
      </c>
      <c r="E42" s="34" t="s">
        <v>59</v>
      </c>
      <c r="F42" s="2" t="s">
        <v>20</v>
      </c>
      <c r="G42" s="33">
        <v>14</v>
      </c>
      <c r="H42" s="73">
        <v>60000</v>
      </c>
      <c r="I42" s="74">
        <f t="shared" si="2"/>
        <v>840000</v>
      </c>
    </row>
    <row r="43" spans="2:15" ht="22" customHeight="1" x14ac:dyDescent="0.35">
      <c r="B43" s="5"/>
      <c r="C43" s="2" t="s">
        <v>5</v>
      </c>
      <c r="D43" s="34" t="s">
        <v>59</v>
      </c>
      <c r="E43" s="34" t="s">
        <v>59</v>
      </c>
      <c r="F43" s="2" t="s">
        <v>21</v>
      </c>
      <c r="G43" s="33">
        <v>15</v>
      </c>
      <c r="H43" s="73">
        <v>15000</v>
      </c>
      <c r="I43" s="74">
        <f t="shared" si="2"/>
        <v>225000</v>
      </c>
    </row>
    <row r="44" spans="2:15" ht="22" customHeight="1" x14ac:dyDescent="0.35">
      <c r="B44" s="5"/>
      <c r="C44" s="2" t="s">
        <v>6</v>
      </c>
      <c r="D44" s="34" t="s">
        <v>59</v>
      </c>
      <c r="E44" s="34" t="s">
        <v>59</v>
      </c>
      <c r="F44" s="2" t="s">
        <v>22</v>
      </c>
      <c r="G44" s="33">
        <v>13</v>
      </c>
      <c r="H44" s="73">
        <v>12000</v>
      </c>
      <c r="I44" s="74">
        <f t="shared" si="2"/>
        <v>156000</v>
      </c>
    </row>
    <row r="45" spans="2:15" ht="22" customHeight="1" x14ac:dyDescent="0.35">
      <c r="B45" s="5"/>
      <c r="C45" s="2" t="s">
        <v>7</v>
      </c>
      <c r="D45" s="34" t="s">
        <v>59</v>
      </c>
      <c r="E45" s="34" t="s">
        <v>59</v>
      </c>
      <c r="F45" s="2" t="s">
        <v>23</v>
      </c>
      <c r="G45" s="33">
        <v>12</v>
      </c>
      <c r="H45" s="73">
        <v>55000</v>
      </c>
      <c r="I45" s="74">
        <f t="shared" si="2"/>
        <v>660000</v>
      </c>
    </row>
    <row r="46" spans="2:15" ht="22" customHeight="1" x14ac:dyDescent="0.35">
      <c r="B46" s="5"/>
      <c r="C46" s="2" t="s">
        <v>8</v>
      </c>
      <c r="D46" s="34" t="s">
        <v>59</v>
      </c>
      <c r="E46" s="34" t="s">
        <v>59</v>
      </c>
      <c r="F46" s="2" t="s">
        <v>24</v>
      </c>
      <c r="G46" s="33">
        <v>11</v>
      </c>
      <c r="H46" s="73">
        <v>8000</v>
      </c>
      <c r="I46" s="74">
        <f t="shared" si="2"/>
        <v>88000</v>
      </c>
    </row>
    <row r="47" spans="2:15" ht="22" customHeight="1" x14ac:dyDescent="0.35">
      <c r="B47" s="5"/>
      <c r="C47" s="2" t="s">
        <v>9</v>
      </c>
      <c r="D47" s="34" t="s">
        <v>59</v>
      </c>
      <c r="E47" s="34" t="s">
        <v>59</v>
      </c>
      <c r="F47" s="2" t="s">
        <v>25</v>
      </c>
      <c r="G47" s="33">
        <v>10</v>
      </c>
      <c r="H47" s="73">
        <v>8000</v>
      </c>
      <c r="I47" s="74">
        <f t="shared" si="2"/>
        <v>80000</v>
      </c>
    </row>
    <row r="49" spans="2:15" ht="45" customHeight="1" x14ac:dyDescent="0.35">
      <c r="B49" s="61" t="s">
        <v>37</v>
      </c>
      <c r="C49" s="62"/>
      <c r="D49" s="62"/>
      <c r="E49" s="62"/>
      <c r="F49" s="62"/>
      <c r="G49" s="62"/>
      <c r="H49" s="62"/>
      <c r="I49" s="62"/>
      <c r="K49" s="30"/>
      <c r="L49" s="30"/>
      <c r="M49" s="30"/>
      <c r="N49" s="30"/>
      <c r="O49" s="30"/>
    </row>
    <row r="50" spans="2:15" ht="45" customHeight="1" x14ac:dyDescent="0.35">
      <c r="B50" s="35" t="s">
        <v>71</v>
      </c>
      <c r="C50" s="36" t="s">
        <v>72</v>
      </c>
      <c r="D50" s="35" t="s">
        <v>73</v>
      </c>
      <c r="E50" s="35" t="s">
        <v>74</v>
      </c>
      <c r="F50" s="36" t="s">
        <v>75</v>
      </c>
      <c r="G50" s="35" t="s">
        <v>76</v>
      </c>
      <c r="H50" s="35" t="s">
        <v>77</v>
      </c>
      <c r="I50" s="35" t="s">
        <v>78</v>
      </c>
    </row>
    <row r="51" spans="2:15" ht="22" customHeight="1" x14ac:dyDescent="0.35">
      <c r="B51" s="5">
        <v>1245</v>
      </c>
      <c r="C51" s="2" t="s">
        <v>0</v>
      </c>
      <c r="D51" s="34" t="s">
        <v>59</v>
      </c>
      <c r="E51" s="34" t="s">
        <v>59</v>
      </c>
      <c r="F51" s="2" t="s">
        <v>16</v>
      </c>
      <c r="G51" s="33">
        <v>5</v>
      </c>
      <c r="H51" s="73">
        <v>50000</v>
      </c>
      <c r="I51" s="74">
        <f>G51*H51</f>
        <v>250000</v>
      </c>
    </row>
    <row r="52" spans="2:15" ht="22" customHeight="1" x14ac:dyDescent="0.35">
      <c r="B52" s="5"/>
      <c r="C52" s="2" t="s">
        <v>1</v>
      </c>
      <c r="D52" s="34" t="s">
        <v>59</v>
      </c>
      <c r="E52" s="34" t="s">
        <v>59</v>
      </c>
      <c r="F52" s="2" t="s">
        <v>17</v>
      </c>
      <c r="G52" s="33">
        <v>12</v>
      </c>
      <c r="H52" s="73">
        <v>65000</v>
      </c>
      <c r="I52" s="74">
        <f t="shared" ref="I52:I60" si="3">G52*H52</f>
        <v>780000</v>
      </c>
    </row>
    <row r="53" spans="2:15" ht="22" customHeight="1" x14ac:dyDescent="0.35">
      <c r="B53" s="5"/>
      <c r="C53" s="2" t="s">
        <v>2</v>
      </c>
      <c r="D53" s="34" t="s">
        <v>59</v>
      </c>
      <c r="E53" s="34" t="s">
        <v>59</v>
      </c>
      <c r="F53" s="2" t="s">
        <v>18</v>
      </c>
      <c r="G53" s="33">
        <v>8</v>
      </c>
      <c r="H53" s="73">
        <v>25000</v>
      </c>
      <c r="I53" s="74">
        <f t="shared" si="3"/>
        <v>200000</v>
      </c>
    </row>
    <row r="54" spans="2:15" ht="22" customHeight="1" x14ac:dyDescent="0.35">
      <c r="B54" s="5"/>
      <c r="C54" s="2" t="s">
        <v>3</v>
      </c>
      <c r="D54" s="34" t="s">
        <v>59</v>
      </c>
      <c r="E54" s="34" t="s">
        <v>59</v>
      </c>
      <c r="F54" s="2" t="s">
        <v>19</v>
      </c>
      <c r="G54" s="33">
        <v>5</v>
      </c>
      <c r="H54" s="73">
        <v>25000</v>
      </c>
      <c r="I54" s="74">
        <f t="shared" si="3"/>
        <v>125000</v>
      </c>
    </row>
    <row r="55" spans="2:15" ht="22" customHeight="1" x14ac:dyDescent="0.35">
      <c r="B55" s="5"/>
      <c r="C55" s="2" t="s">
        <v>4</v>
      </c>
      <c r="D55" s="34" t="s">
        <v>59</v>
      </c>
      <c r="E55" s="34" t="s">
        <v>59</v>
      </c>
      <c r="F55" s="2" t="s">
        <v>20</v>
      </c>
      <c r="G55" s="33">
        <v>4</v>
      </c>
      <c r="H55" s="73">
        <v>60000</v>
      </c>
      <c r="I55" s="74">
        <f t="shared" si="3"/>
        <v>240000</v>
      </c>
    </row>
    <row r="56" spans="2:15" ht="22" customHeight="1" x14ac:dyDescent="0.35">
      <c r="B56" s="5"/>
      <c r="C56" s="2" t="s">
        <v>5</v>
      </c>
      <c r="D56" s="34" t="s">
        <v>59</v>
      </c>
      <c r="E56" s="34" t="s">
        <v>59</v>
      </c>
      <c r="F56" s="2" t="s">
        <v>21</v>
      </c>
      <c r="G56" s="33">
        <v>15</v>
      </c>
      <c r="H56" s="73">
        <v>15000</v>
      </c>
      <c r="I56" s="74">
        <f t="shared" si="3"/>
        <v>225000</v>
      </c>
    </row>
    <row r="57" spans="2:15" ht="22" customHeight="1" x14ac:dyDescent="0.35">
      <c r="B57" s="5"/>
      <c r="C57" s="2" t="s">
        <v>6</v>
      </c>
      <c r="D57" s="34" t="s">
        <v>59</v>
      </c>
      <c r="E57" s="34" t="s">
        <v>59</v>
      </c>
      <c r="F57" s="2" t="s">
        <v>22</v>
      </c>
      <c r="G57" s="33">
        <v>12</v>
      </c>
      <c r="H57" s="73">
        <v>12000</v>
      </c>
      <c r="I57" s="74">
        <f t="shared" si="3"/>
        <v>144000</v>
      </c>
    </row>
    <row r="58" spans="2:15" ht="22" customHeight="1" x14ac:dyDescent="0.35">
      <c r="B58" s="5"/>
      <c r="C58" s="2" t="s">
        <v>7</v>
      </c>
      <c r="D58" s="34" t="s">
        <v>59</v>
      </c>
      <c r="E58" s="34" t="s">
        <v>59</v>
      </c>
      <c r="F58" s="2" t="s">
        <v>23</v>
      </c>
      <c r="G58" s="33">
        <v>22</v>
      </c>
      <c r="H58" s="73">
        <v>55000</v>
      </c>
      <c r="I58" s="74">
        <f t="shared" si="3"/>
        <v>1210000</v>
      </c>
    </row>
    <row r="59" spans="2:15" ht="22" customHeight="1" x14ac:dyDescent="0.35">
      <c r="B59" s="5"/>
      <c r="C59" s="2" t="s">
        <v>8</v>
      </c>
      <c r="D59" s="34" t="s">
        <v>59</v>
      </c>
      <c r="E59" s="34" t="s">
        <v>59</v>
      </c>
      <c r="F59" s="2" t="s">
        <v>24</v>
      </c>
      <c r="G59" s="33">
        <v>6</v>
      </c>
      <c r="H59" s="73">
        <v>8000</v>
      </c>
      <c r="I59" s="74">
        <f t="shared" si="3"/>
        <v>48000</v>
      </c>
    </row>
    <row r="60" spans="2:15" ht="22" customHeight="1" x14ac:dyDescent="0.35">
      <c r="B60" s="5"/>
      <c r="C60" s="2" t="s">
        <v>9</v>
      </c>
      <c r="D60" s="34" t="s">
        <v>59</v>
      </c>
      <c r="E60" s="34" t="s">
        <v>59</v>
      </c>
      <c r="F60" s="2" t="s">
        <v>25</v>
      </c>
      <c r="G60" s="33">
        <v>9</v>
      </c>
      <c r="H60" s="73">
        <v>8000</v>
      </c>
      <c r="I60" s="74">
        <f t="shared" si="3"/>
        <v>72000</v>
      </c>
    </row>
  </sheetData>
  <mergeCells count="16">
    <mergeCell ref="N4:N8"/>
    <mergeCell ref="Q4:Q8"/>
    <mergeCell ref="T4:T8"/>
    <mergeCell ref="K4:K8"/>
    <mergeCell ref="B49:I49"/>
    <mergeCell ref="B4:C4"/>
    <mergeCell ref="F4:G4"/>
    <mergeCell ref="B5:C5"/>
    <mergeCell ref="F5:G5"/>
    <mergeCell ref="B6:C6"/>
    <mergeCell ref="F6:G6"/>
    <mergeCell ref="B7:C7"/>
    <mergeCell ref="F7:G7"/>
    <mergeCell ref="B10:I10"/>
    <mergeCell ref="B23:I23"/>
    <mergeCell ref="B36:I36"/>
  </mergeCells>
  <conditionalFormatting sqref="H11:I11">
    <cfRule type="expression" dxfId="47" priority="10">
      <formula>_xlfn.RANK.EQ($G11,$G$16:$G$23)&lt;=5</formula>
    </cfRule>
  </conditionalFormatting>
  <conditionalFormatting sqref="H24:I24">
    <cfRule type="expression" dxfId="2" priority="3">
      <formula>_xlfn.RANK.EQ($G24,$G$16:$G$23)&lt;=5</formula>
    </cfRule>
  </conditionalFormatting>
  <conditionalFormatting sqref="H37:I37">
    <cfRule type="expression" dxfId="1" priority="2">
      <formula>_xlfn.RANK.EQ($G37,$G$16:$G$23)&lt;=5</formula>
    </cfRule>
  </conditionalFormatting>
  <conditionalFormatting sqref="H50:I50">
    <cfRule type="expression" dxfId="0" priority="1">
      <formula>_xlfn.RANK.EQ($G50,$G$16:$G$23)&lt;=5</formula>
    </cfRule>
  </conditionalFormatting>
  <pageMargins left="0.7" right="0.7" top="0.75" bottom="0.75" header="0.3" footer="0.3"/>
  <pageSetup scale="47" fitToHeight="0" orientation="landscape" horizontalDpi="1200" verticalDpi="1200" r:id="rId1"/>
  <rowBreaks count="1" manualBreakCount="1">
    <brk id="34" min="1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Dashboard</vt:lpstr>
      <vt:lpstr>Produk</vt:lpstr>
      <vt:lpstr>Pembelian</vt:lpstr>
      <vt:lpstr>Penjualan</vt:lpstr>
      <vt:lpstr>Dashboard!Print_Area</vt:lpstr>
      <vt:lpstr>Pembelian!Print_Area</vt:lpstr>
      <vt:lpstr>Penjualan!Print_Area</vt:lpstr>
      <vt:lpstr>Produk!Print_Area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Dunlevy, Bess</dc:creator>
  <cp:lastModifiedBy>Robin Andra</cp:lastModifiedBy>
  <cp:lastPrinted>2025-03-19T23:27:38Z</cp:lastPrinted>
  <dcterms:created xsi:type="dcterms:W3CDTF">2025-02-25T17:04:56Z</dcterms:created>
  <dcterms:modified xsi:type="dcterms:W3CDTF">2025-09-30T07:44:54Z</dcterms:modified>
</cp:coreProperties>
</file>