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Pictures\"/>
    </mc:Choice>
  </mc:AlternateContent>
  <xr:revisionPtr revIDLastSave="0" documentId="13_ncr:1_{1B692F89-C9B9-43B1-9807-6D8A4AC16D8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shboard" sheetId="15" r:id="rId1"/>
    <sheet name="Januari" sheetId="4" r:id="rId2"/>
    <sheet name="Februari" sheetId="28" r:id="rId3"/>
    <sheet name="Maret" sheetId="29" r:id="rId4"/>
    <sheet name="April" sheetId="30" r:id="rId5"/>
    <sheet name="Mei" sheetId="31" r:id="rId6"/>
    <sheet name="Juni" sheetId="32" r:id="rId7"/>
    <sheet name="Juli" sheetId="33" r:id="rId8"/>
    <sheet name="Agustus" sheetId="34" r:id="rId9"/>
    <sheet name="September" sheetId="35" r:id="rId10"/>
    <sheet name="Oktober" sheetId="36" r:id="rId11"/>
    <sheet name="November" sheetId="37" r:id="rId12"/>
    <sheet name="Desember" sheetId="38" r:id="rId13"/>
  </sheets>
  <definedNames>
    <definedName name="_xlnm.Print_Area" localSheetId="8">Agustus!$B$1:$AI$53</definedName>
    <definedName name="_xlnm.Print_Area" localSheetId="4">April!$B$1:$AI$53</definedName>
    <definedName name="_xlnm.Print_Area" localSheetId="0">Dashboard!$B$1:$Y$76</definedName>
    <definedName name="_xlnm.Print_Area" localSheetId="12">Desember!$B$1:$AI$53</definedName>
    <definedName name="_xlnm.Print_Area" localSheetId="2">Februari!$B$1:$AI$53</definedName>
    <definedName name="_xlnm.Print_Area" localSheetId="1">Januari!$B$1:$AI$53</definedName>
    <definedName name="_xlnm.Print_Area" localSheetId="7">Juli!$B$1:$AI$53</definedName>
    <definedName name="_xlnm.Print_Area" localSheetId="6">Juni!$B$1:$AI$53</definedName>
    <definedName name="_xlnm.Print_Area" localSheetId="3">Maret!$B$1:$AI$53</definedName>
    <definedName name="_xlnm.Print_Area" localSheetId="5">Mei!$B$1:$AI$53</definedName>
    <definedName name="_xlnm.Print_Area" localSheetId="11">November!$B$1:$AI$53</definedName>
    <definedName name="_xlnm.Print_Area" localSheetId="10">Oktober!$B$1:$AI$53</definedName>
    <definedName name="_xlnm.Print_Area" localSheetId="9">September!$B$1:$AI$53</definedName>
  </definedNames>
  <calcPr calcId="191029"/>
</workbook>
</file>

<file path=xl/calcChain.xml><?xml version="1.0" encoding="utf-8"?>
<calcChain xmlns="http://schemas.openxmlformats.org/spreadsheetml/2006/main">
  <c r="F7" i="15" l="1"/>
  <c r="F6" i="15"/>
  <c r="F5" i="15"/>
  <c r="T49" i="38"/>
  <c r="M44" i="38"/>
  <c r="J44" i="38"/>
  <c r="G44" i="38"/>
  <c r="P44" i="38" s="1"/>
  <c r="M42" i="38"/>
  <c r="J42" i="38"/>
  <c r="G42" i="38"/>
  <c r="P42" i="38" s="1"/>
  <c r="M40" i="38"/>
  <c r="J40" i="38"/>
  <c r="P40" i="38" s="1"/>
  <c r="G40" i="38"/>
  <c r="M38" i="38"/>
  <c r="J38" i="38"/>
  <c r="G38" i="38"/>
  <c r="P38" i="38" s="1"/>
  <c r="M36" i="38"/>
  <c r="J36" i="38"/>
  <c r="G36" i="38"/>
  <c r="P36" i="38" s="1"/>
  <c r="M34" i="38"/>
  <c r="J34" i="38"/>
  <c r="G34" i="38"/>
  <c r="P34" i="38" s="1"/>
  <c r="M32" i="38"/>
  <c r="J32" i="38"/>
  <c r="P32" i="38" s="1"/>
  <c r="G32" i="38"/>
  <c r="M30" i="38"/>
  <c r="J30" i="38"/>
  <c r="G30" i="38"/>
  <c r="P30" i="38" s="1"/>
  <c r="M28" i="38"/>
  <c r="J28" i="38"/>
  <c r="G28" i="38"/>
  <c r="P28" i="38" s="1"/>
  <c r="M26" i="38"/>
  <c r="J26" i="38"/>
  <c r="G26" i="38"/>
  <c r="P26" i="38" s="1"/>
  <c r="M24" i="38"/>
  <c r="J24" i="38"/>
  <c r="P24" i="38" s="1"/>
  <c r="G24" i="38"/>
  <c r="M22" i="38"/>
  <c r="J22" i="38"/>
  <c r="G22" i="38"/>
  <c r="P22" i="38" s="1"/>
  <c r="M20" i="38"/>
  <c r="J20" i="38"/>
  <c r="G20" i="38"/>
  <c r="P20" i="38" s="1"/>
  <c r="M18" i="38"/>
  <c r="J18" i="38"/>
  <c r="G18" i="38"/>
  <c r="P18" i="38" s="1"/>
  <c r="M16" i="38"/>
  <c r="J16" i="38"/>
  <c r="P16" i="38" s="1"/>
  <c r="G16" i="38"/>
  <c r="M14" i="38"/>
  <c r="J14" i="38"/>
  <c r="G14" i="38"/>
  <c r="P14" i="38" s="1"/>
  <c r="M12" i="38"/>
  <c r="J12" i="38"/>
  <c r="G12" i="38"/>
  <c r="P12" i="38" s="1"/>
  <c r="M10" i="38"/>
  <c r="J10" i="38"/>
  <c r="G10" i="38"/>
  <c r="P10" i="38" s="1"/>
  <c r="M8" i="38"/>
  <c r="J8" i="38"/>
  <c r="P8" i="38" s="1"/>
  <c r="G8" i="38"/>
  <c r="M6" i="38"/>
  <c r="J6" i="38"/>
  <c r="G6" i="38"/>
  <c r="T49" i="37"/>
  <c r="M44" i="37"/>
  <c r="J44" i="37"/>
  <c r="G44" i="37"/>
  <c r="P44" i="37" s="1"/>
  <c r="M42" i="37"/>
  <c r="J42" i="37"/>
  <c r="G42" i="37"/>
  <c r="P42" i="37" s="1"/>
  <c r="M40" i="37"/>
  <c r="J40" i="37"/>
  <c r="P40" i="37" s="1"/>
  <c r="G40" i="37"/>
  <c r="M38" i="37"/>
  <c r="J38" i="37"/>
  <c r="G38" i="37"/>
  <c r="P38" i="37" s="1"/>
  <c r="M36" i="37"/>
  <c r="J36" i="37"/>
  <c r="G36" i="37"/>
  <c r="P36" i="37" s="1"/>
  <c r="M34" i="37"/>
  <c r="J34" i="37"/>
  <c r="G34" i="37"/>
  <c r="P34" i="37" s="1"/>
  <c r="M32" i="37"/>
  <c r="J32" i="37"/>
  <c r="P32" i="37" s="1"/>
  <c r="G32" i="37"/>
  <c r="M30" i="37"/>
  <c r="J30" i="37"/>
  <c r="G30" i="37"/>
  <c r="P30" i="37" s="1"/>
  <c r="M28" i="37"/>
  <c r="J28" i="37"/>
  <c r="G28" i="37"/>
  <c r="P28" i="37" s="1"/>
  <c r="M26" i="37"/>
  <c r="J26" i="37"/>
  <c r="G26" i="37"/>
  <c r="P26" i="37" s="1"/>
  <c r="M24" i="37"/>
  <c r="J24" i="37"/>
  <c r="P24" i="37" s="1"/>
  <c r="G24" i="37"/>
  <c r="M22" i="37"/>
  <c r="J22" i="37"/>
  <c r="G22" i="37"/>
  <c r="P22" i="37" s="1"/>
  <c r="M20" i="37"/>
  <c r="J20" i="37"/>
  <c r="G20" i="37"/>
  <c r="P20" i="37" s="1"/>
  <c r="M18" i="37"/>
  <c r="J18" i="37"/>
  <c r="G18" i="37"/>
  <c r="P18" i="37" s="1"/>
  <c r="M16" i="37"/>
  <c r="J16" i="37"/>
  <c r="P16" i="37" s="1"/>
  <c r="G16" i="37"/>
  <c r="M14" i="37"/>
  <c r="J14" i="37"/>
  <c r="G14" i="37"/>
  <c r="P14" i="37" s="1"/>
  <c r="M12" i="37"/>
  <c r="J12" i="37"/>
  <c r="G12" i="37"/>
  <c r="P12" i="37" s="1"/>
  <c r="M10" i="37"/>
  <c r="J10" i="37"/>
  <c r="G10" i="37"/>
  <c r="P10" i="37" s="1"/>
  <c r="M8" i="37"/>
  <c r="J8" i="37"/>
  <c r="P8" i="37" s="1"/>
  <c r="G8" i="37"/>
  <c r="M6" i="37"/>
  <c r="J6" i="37"/>
  <c r="G6" i="37"/>
  <c r="T49" i="36"/>
  <c r="M44" i="36"/>
  <c r="J44" i="36"/>
  <c r="G44" i="36"/>
  <c r="P44" i="36" s="1"/>
  <c r="M42" i="36"/>
  <c r="J42" i="36"/>
  <c r="G42" i="36"/>
  <c r="P42" i="36" s="1"/>
  <c r="M40" i="36"/>
  <c r="J40" i="36"/>
  <c r="G40" i="36"/>
  <c r="P40" i="36" s="1"/>
  <c r="M38" i="36"/>
  <c r="P38" i="36" s="1"/>
  <c r="J38" i="36"/>
  <c r="G38" i="36"/>
  <c r="M36" i="36"/>
  <c r="J36" i="36"/>
  <c r="G36" i="36"/>
  <c r="P36" i="36" s="1"/>
  <c r="M34" i="36"/>
  <c r="J34" i="36"/>
  <c r="G34" i="36"/>
  <c r="P34" i="36" s="1"/>
  <c r="M32" i="36"/>
  <c r="J32" i="36"/>
  <c r="G32" i="36"/>
  <c r="P32" i="36" s="1"/>
  <c r="M30" i="36"/>
  <c r="P30" i="36" s="1"/>
  <c r="J30" i="36"/>
  <c r="G30" i="36"/>
  <c r="M28" i="36"/>
  <c r="J28" i="36"/>
  <c r="G28" i="36"/>
  <c r="P28" i="36" s="1"/>
  <c r="M26" i="36"/>
  <c r="J26" i="36"/>
  <c r="G26" i="36"/>
  <c r="P26" i="36" s="1"/>
  <c r="M24" i="36"/>
  <c r="J24" i="36"/>
  <c r="G24" i="36"/>
  <c r="P24" i="36" s="1"/>
  <c r="M22" i="36"/>
  <c r="P22" i="36" s="1"/>
  <c r="J22" i="36"/>
  <c r="G22" i="36"/>
  <c r="M20" i="36"/>
  <c r="J20" i="36"/>
  <c r="G20" i="36"/>
  <c r="P20" i="36" s="1"/>
  <c r="M18" i="36"/>
  <c r="J18" i="36"/>
  <c r="G18" i="36"/>
  <c r="P18" i="36" s="1"/>
  <c r="M16" i="36"/>
  <c r="J16" i="36"/>
  <c r="G16" i="36"/>
  <c r="P16" i="36" s="1"/>
  <c r="M14" i="36"/>
  <c r="P14" i="36" s="1"/>
  <c r="J14" i="36"/>
  <c r="G14" i="36"/>
  <c r="M12" i="36"/>
  <c r="J12" i="36"/>
  <c r="G12" i="36"/>
  <c r="P12" i="36" s="1"/>
  <c r="M10" i="36"/>
  <c r="J10" i="36"/>
  <c r="G10" i="36"/>
  <c r="P10" i="36" s="1"/>
  <c r="M8" i="36"/>
  <c r="J8" i="36"/>
  <c r="G8" i="36"/>
  <c r="P8" i="36" s="1"/>
  <c r="M6" i="36"/>
  <c r="J6" i="36"/>
  <c r="G6" i="36"/>
  <c r="T49" i="35"/>
  <c r="M44" i="35"/>
  <c r="J44" i="35"/>
  <c r="G44" i="35"/>
  <c r="P44" i="35" s="1"/>
  <c r="M42" i="35"/>
  <c r="J42" i="35"/>
  <c r="G42" i="35"/>
  <c r="P42" i="35" s="1"/>
  <c r="M40" i="35"/>
  <c r="J40" i="35"/>
  <c r="P40" i="35" s="1"/>
  <c r="G40" i="35"/>
  <c r="M38" i="35"/>
  <c r="J38" i="35"/>
  <c r="G38" i="35"/>
  <c r="P38" i="35" s="1"/>
  <c r="M36" i="35"/>
  <c r="J36" i="35"/>
  <c r="G36" i="35"/>
  <c r="P36" i="35" s="1"/>
  <c r="M34" i="35"/>
  <c r="J34" i="35"/>
  <c r="G34" i="35"/>
  <c r="P34" i="35" s="1"/>
  <c r="M32" i="35"/>
  <c r="J32" i="35"/>
  <c r="P32" i="35" s="1"/>
  <c r="G32" i="35"/>
  <c r="M30" i="35"/>
  <c r="J30" i="35"/>
  <c r="G30" i="35"/>
  <c r="P30" i="35" s="1"/>
  <c r="M28" i="35"/>
  <c r="J28" i="35"/>
  <c r="G28" i="35"/>
  <c r="P28" i="35" s="1"/>
  <c r="M26" i="35"/>
  <c r="J26" i="35"/>
  <c r="G26" i="35"/>
  <c r="P26" i="35" s="1"/>
  <c r="M24" i="35"/>
  <c r="J24" i="35"/>
  <c r="P24" i="35" s="1"/>
  <c r="G24" i="35"/>
  <c r="M22" i="35"/>
  <c r="J22" i="35"/>
  <c r="G22" i="35"/>
  <c r="P22" i="35" s="1"/>
  <c r="M20" i="35"/>
  <c r="J20" i="35"/>
  <c r="G20" i="35"/>
  <c r="P20" i="35" s="1"/>
  <c r="M18" i="35"/>
  <c r="J18" i="35"/>
  <c r="G18" i="35"/>
  <c r="P18" i="35" s="1"/>
  <c r="M16" i="35"/>
  <c r="J16" i="35"/>
  <c r="P16" i="35" s="1"/>
  <c r="G16" i="35"/>
  <c r="M14" i="35"/>
  <c r="J14" i="35"/>
  <c r="G14" i="35"/>
  <c r="P14" i="35" s="1"/>
  <c r="M12" i="35"/>
  <c r="J12" i="35"/>
  <c r="G12" i="35"/>
  <c r="P12" i="35" s="1"/>
  <c r="M10" i="35"/>
  <c r="J10" i="35"/>
  <c r="G10" i="35"/>
  <c r="P10" i="35" s="1"/>
  <c r="M8" i="35"/>
  <c r="J8" i="35"/>
  <c r="P8" i="35" s="1"/>
  <c r="G8" i="35"/>
  <c r="M6" i="35"/>
  <c r="J6" i="35"/>
  <c r="G6" i="35"/>
  <c r="T49" i="34"/>
  <c r="M44" i="34"/>
  <c r="J44" i="34"/>
  <c r="G44" i="34"/>
  <c r="P44" i="34" s="1"/>
  <c r="M42" i="34"/>
  <c r="J42" i="34"/>
  <c r="G42" i="34"/>
  <c r="P42" i="34" s="1"/>
  <c r="M40" i="34"/>
  <c r="J40" i="34"/>
  <c r="P40" i="34" s="1"/>
  <c r="G40" i="34"/>
  <c r="M38" i="34"/>
  <c r="J38" i="34"/>
  <c r="G38" i="34"/>
  <c r="P38" i="34" s="1"/>
  <c r="M36" i="34"/>
  <c r="J36" i="34"/>
  <c r="G36" i="34"/>
  <c r="P36" i="34" s="1"/>
  <c r="M34" i="34"/>
  <c r="J34" i="34"/>
  <c r="G34" i="34"/>
  <c r="P34" i="34" s="1"/>
  <c r="M32" i="34"/>
  <c r="J32" i="34"/>
  <c r="P32" i="34" s="1"/>
  <c r="G32" i="34"/>
  <c r="M30" i="34"/>
  <c r="J30" i="34"/>
  <c r="G30" i="34"/>
  <c r="P30" i="34" s="1"/>
  <c r="M28" i="34"/>
  <c r="J28" i="34"/>
  <c r="G28" i="34"/>
  <c r="P28" i="34" s="1"/>
  <c r="M26" i="34"/>
  <c r="J26" i="34"/>
  <c r="G26" i="34"/>
  <c r="P26" i="34" s="1"/>
  <c r="M24" i="34"/>
  <c r="J24" i="34"/>
  <c r="P24" i="34" s="1"/>
  <c r="G24" i="34"/>
  <c r="M22" i="34"/>
  <c r="J22" i="34"/>
  <c r="G22" i="34"/>
  <c r="P22" i="34" s="1"/>
  <c r="M20" i="34"/>
  <c r="J20" i="34"/>
  <c r="G20" i="34"/>
  <c r="P20" i="34" s="1"/>
  <c r="M18" i="34"/>
  <c r="J18" i="34"/>
  <c r="G18" i="34"/>
  <c r="P18" i="34" s="1"/>
  <c r="M16" i="34"/>
  <c r="J16" i="34"/>
  <c r="P16" i="34" s="1"/>
  <c r="G16" i="34"/>
  <c r="M14" i="34"/>
  <c r="J14" i="34"/>
  <c r="G14" i="34"/>
  <c r="P14" i="34" s="1"/>
  <c r="M12" i="34"/>
  <c r="J12" i="34"/>
  <c r="G12" i="34"/>
  <c r="P12" i="34" s="1"/>
  <c r="M10" i="34"/>
  <c r="J10" i="34"/>
  <c r="G10" i="34"/>
  <c r="P10" i="34" s="1"/>
  <c r="M8" i="34"/>
  <c r="J8" i="34"/>
  <c r="P8" i="34" s="1"/>
  <c r="G8" i="34"/>
  <c r="M6" i="34"/>
  <c r="J6" i="34"/>
  <c r="G6" i="34"/>
  <c r="T49" i="33"/>
  <c r="M44" i="33"/>
  <c r="J44" i="33"/>
  <c r="G44" i="33"/>
  <c r="P44" i="33" s="1"/>
  <c r="M42" i="33"/>
  <c r="P42" i="33" s="1"/>
  <c r="J42" i="33"/>
  <c r="G42" i="33"/>
  <c r="M40" i="33"/>
  <c r="J40" i="33"/>
  <c r="G40" i="33"/>
  <c r="P40" i="33" s="1"/>
  <c r="P38" i="33"/>
  <c r="M38" i="33"/>
  <c r="J38" i="33"/>
  <c r="G38" i="33"/>
  <c r="M36" i="33"/>
  <c r="J36" i="33"/>
  <c r="G36" i="33"/>
  <c r="P36" i="33" s="1"/>
  <c r="M34" i="33"/>
  <c r="P34" i="33" s="1"/>
  <c r="J34" i="33"/>
  <c r="G34" i="33"/>
  <c r="M32" i="33"/>
  <c r="J32" i="33"/>
  <c r="G32" i="33"/>
  <c r="P32" i="33" s="1"/>
  <c r="P30" i="33"/>
  <c r="M30" i="33"/>
  <c r="J30" i="33"/>
  <c r="G30" i="33"/>
  <c r="M28" i="33"/>
  <c r="J28" i="33"/>
  <c r="G28" i="33"/>
  <c r="P28" i="33" s="1"/>
  <c r="M26" i="33"/>
  <c r="P26" i="33" s="1"/>
  <c r="J26" i="33"/>
  <c r="G26" i="33"/>
  <c r="M24" i="33"/>
  <c r="J24" i="33"/>
  <c r="G24" i="33"/>
  <c r="P24" i="33" s="1"/>
  <c r="P22" i="33"/>
  <c r="M22" i="33"/>
  <c r="J22" i="33"/>
  <c r="G22" i="33"/>
  <c r="M20" i="33"/>
  <c r="J20" i="33"/>
  <c r="G20" i="33"/>
  <c r="P20" i="33" s="1"/>
  <c r="M18" i="33"/>
  <c r="P18" i="33" s="1"/>
  <c r="J18" i="33"/>
  <c r="G18" i="33"/>
  <c r="M16" i="33"/>
  <c r="J16" i="33"/>
  <c r="G16" i="33"/>
  <c r="P16" i="33" s="1"/>
  <c r="P14" i="33"/>
  <c r="M14" i="33"/>
  <c r="J14" i="33"/>
  <c r="G14" i="33"/>
  <c r="M12" i="33"/>
  <c r="J12" i="33"/>
  <c r="G12" i="33"/>
  <c r="P12" i="33" s="1"/>
  <c r="M10" i="33"/>
  <c r="P10" i="33" s="1"/>
  <c r="J10" i="33"/>
  <c r="G10" i="33"/>
  <c r="M8" i="33"/>
  <c r="J8" i="33"/>
  <c r="G8" i="33"/>
  <c r="P8" i="33" s="1"/>
  <c r="P6" i="33"/>
  <c r="T52" i="33" s="1"/>
  <c r="M6" i="33"/>
  <c r="J6" i="33"/>
  <c r="G6" i="33"/>
  <c r="T49" i="32"/>
  <c r="M44" i="32"/>
  <c r="J44" i="32"/>
  <c r="G44" i="32"/>
  <c r="P44" i="32" s="1"/>
  <c r="M42" i="32"/>
  <c r="J42" i="32"/>
  <c r="G42" i="32"/>
  <c r="P42" i="32" s="1"/>
  <c r="M40" i="32"/>
  <c r="J40" i="32"/>
  <c r="G40" i="32"/>
  <c r="P40" i="32" s="1"/>
  <c r="M38" i="32"/>
  <c r="P38" i="32" s="1"/>
  <c r="J38" i="32"/>
  <c r="G38" i="32"/>
  <c r="M36" i="32"/>
  <c r="J36" i="32"/>
  <c r="G36" i="32"/>
  <c r="P36" i="32" s="1"/>
  <c r="M34" i="32"/>
  <c r="J34" i="32"/>
  <c r="G34" i="32"/>
  <c r="P34" i="32" s="1"/>
  <c r="M32" i="32"/>
  <c r="J32" i="32"/>
  <c r="G32" i="32"/>
  <c r="P32" i="32" s="1"/>
  <c r="M30" i="32"/>
  <c r="P30" i="32" s="1"/>
  <c r="J30" i="32"/>
  <c r="G30" i="32"/>
  <c r="M28" i="32"/>
  <c r="J28" i="32"/>
  <c r="G28" i="32"/>
  <c r="P28" i="32" s="1"/>
  <c r="M26" i="32"/>
  <c r="J26" i="32"/>
  <c r="G26" i="32"/>
  <c r="P26" i="32" s="1"/>
  <c r="M24" i="32"/>
  <c r="J24" i="32"/>
  <c r="G24" i="32"/>
  <c r="P24" i="32" s="1"/>
  <c r="M22" i="32"/>
  <c r="P22" i="32" s="1"/>
  <c r="J22" i="32"/>
  <c r="G22" i="32"/>
  <c r="M20" i="32"/>
  <c r="J20" i="32"/>
  <c r="G20" i="32"/>
  <c r="P20" i="32" s="1"/>
  <c r="M18" i="32"/>
  <c r="J18" i="32"/>
  <c r="G18" i="32"/>
  <c r="P18" i="32" s="1"/>
  <c r="M16" i="32"/>
  <c r="J16" i="32"/>
  <c r="G16" i="32"/>
  <c r="P16" i="32" s="1"/>
  <c r="M14" i="32"/>
  <c r="P14" i="32" s="1"/>
  <c r="J14" i="32"/>
  <c r="G14" i="32"/>
  <c r="M12" i="32"/>
  <c r="J12" i="32"/>
  <c r="G12" i="32"/>
  <c r="P12" i="32" s="1"/>
  <c r="M10" i="32"/>
  <c r="J10" i="32"/>
  <c r="G10" i="32"/>
  <c r="P10" i="32" s="1"/>
  <c r="M8" i="32"/>
  <c r="J8" i="32"/>
  <c r="G8" i="32"/>
  <c r="P8" i="32" s="1"/>
  <c r="M6" i="32"/>
  <c r="J6" i="32"/>
  <c r="G6" i="32"/>
  <c r="T49" i="31"/>
  <c r="M44" i="31"/>
  <c r="J44" i="31"/>
  <c r="G44" i="31"/>
  <c r="P44" i="31" s="1"/>
  <c r="M42" i="31"/>
  <c r="J42" i="31"/>
  <c r="G42" i="31"/>
  <c r="P42" i="31" s="1"/>
  <c r="M40" i="31"/>
  <c r="J40" i="31"/>
  <c r="G40" i="31"/>
  <c r="P40" i="31" s="1"/>
  <c r="P38" i="31"/>
  <c r="M38" i="31"/>
  <c r="J38" i="31"/>
  <c r="G38" i="31"/>
  <c r="M36" i="31"/>
  <c r="J36" i="31"/>
  <c r="G36" i="31"/>
  <c r="P36" i="31" s="1"/>
  <c r="M34" i="31"/>
  <c r="J34" i="31"/>
  <c r="G34" i="31"/>
  <c r="P34" i="31" s="1"/>
  <c r="M32" i="31"/>
  <c r="J32" i="31"/>
  <c r="G32" i="31"/>
  <c r="P32" i="31" s="1"/>
  <c r="P30" i="31"/>
  <c r="M30" i="31"/>
  <c r="J30" i="31"/>
  <c r="G30" i="31"/>
  <c r="M28" i="31"/>
  <c r="J28" i="31"/>
  <c r="G28" i="31"/>
  <c r="P28" i="31" s="1"/>
  <c r="M26" i="31"/>
  <c r="J26" i="31"/>
  <c r="G26" i="31"/>
  <c r="P26" i="31" s="1"/>
  <c r="M24" i="31"/>
  <c r="J24" i="31"/>
  <c r="G24" i="31"/>
  <c r="P24" i="31" s="1"/>
  <c r="P22" i="31"/>
  <c r="M22" i="31"/>
  <c r="J22" i="31"/>
  <c r="G22" i="31"/>
  <c r="M20" i="31"/>
  <c r="J20" i="31"/>
  <c r="G20" i="31"/>
  <c r="P20" i="31" s="1"/>
  <c r="M18" i="31"/>
  <c r="J18" i="31"/>
  <c r="G18" i="31"/>
  <c r="P18" i="31" s="1"/>
  <c r="M16" i="31"/>
  <c r="J16" i="31"/>
  <c r="G16" i="31"/>
  <c r="P16" i="31" s="1"/>
  <c r="P14" i="31"/>
  <c r="M14" i="31"/>
  <c r="J14" i="31"/>
  <c r="G14" i="31"/>
  <c r="M12" i="31"/>
  <c r="J12" i="31"/>
  <c r="G12" i="31"/>
  <c r="P12" i="31" s="1"/>
  <c r="M10" i="31"/>
  <c r="J10" i="31"/>
  <c r="G10" i="31"/>
  <c r="P10" i="31" s="1"/>
  <c r="M8" i="31"/>
  <c r="J8" i="31"/>
  <c r="G8" i="31"/>
  <c r="P8" i="31" s="1"/>
  <c r="P6" i="31"/>
  <c r="M6" i="31"/>
  <c r="J6" i="31"/>
  <c r="G6" i="31"/>
  <c r="T51" i="31" s="1"/>
  <c r="T49" i="30"/>
  <c r="M44" i="30"/>
  <c r="J44" i="30"/>
  <c r="G44" i="30"/>
  <c r="M42" i="30"/>
  <c r="J42" i="30"/>
  <c r="G42" i="30"/>
  <c r="P42" i="30" s="1"/>
  <c r="M40" i="30"/>
  <c r="J40" i="30"/>
  <c r="G40" i="30"/>
  <c r="M38" i="30"/>
  <c r="J38" i="30"/>
  <c r="G38" i="30"/>
  <c r="P38" i="30" s="1"/>
  <c r="M36" i="30"/>
  <c r="J36" i="30"/>
  <c r="G36" i="30"/>
  <c r="P36" i="30" s="1"/>
  <c r="M34" i="30"/>
  <c r="J34" i="30"/>
  <c r="G34" i="30"/>
  <c r="M32" i="30"/>
  <c r="J32" i="30"/>
  <c r="G32" i="30"/>
  <c r="M30" i="30"/>
  <c r="J30" i="30"/>
  <c r="G30" i="30"/>
  <c r="P30" i="30" s="1"/>
  <c r="M28" i="30"/>
  <c r="J28" i="30"/>
  <c r="G28" i="30"/>
  <c r="P28" i="30" s="1"/>
  <c r="M26" i="30"/>
  <c r="J26" i="30"/>
  <c r="G26" i="30"/>
  <c r="P26" i="30" s="1"/>
  <c r="M24" i="30"/>
  <c r="J24" i="30"/>
  <c r="G24" i="30"/>
  <c r="M22" i="30"/>
  <c r="J22" i="30"/>
  <c r="G22" i="30"/>
  <c r="P22" i="30" s="1"/>
  <c r="M20" i="30"/>
  <c r="J20" i="30"/>
  <c r="G20" i="30"/>
  <c r="P20" i="30" s="1"/>
  <c r="M18" i="30"/>
  <c r="J18" i="30"/>
  <c r="G18" i="30"/>
  <c r="P18" i="30" s="1"/>
  <c r="M16" i="30"/>
  <c r="J16" i="30"/>
  <c r="G16" i="30"/>
  <c r="M14" i="30"/>
  <c r="J14" i="30"/>
  <c r="G14" i="30"/>
  <c r="M12" i="30"/>
  <c r="J12" i="30"/>
  <c r="G12" i="30"/>
  <c r="P12" i="30" s="1"/>
  <c r="M10" i="30"/>
  <c r="J10" i="30"/>
  <c r="G10" i="30"/>
  <c r="P10" i="30" s="1"/>
  <c r="M8" i="30"/>
  <c r="J8" i="30"/>
  <c r="G8" i="30"/>
  <c r="M6" i="30"/>
  <c r="J6" i="30"/>
  <c r="G6" i="30"/>
  <c r="T49" i="29"/>
  <c r="M44" i="29"/>
  <c r="J44" i="29"/>
  <c r="G44" i="29"/>
  <c r="P44" i="29" s="1"/>
  <c r="M42" i="29"/>
  <c r="J42" i="29"/>
  <c r="G42" i="29"/>
  <c r="P42" i="29" s="1"/>
  <c r="M40" i="29"/>
  <c r="J40" i="29"/>
  <c r="P40" i="29" s="1"/>
  <c r="G40" i="29"/>
  <c r="M38" i="29"/>
  <c r="J38" i="29"/>
  <c r="P38" i="29" s="1"/>
  <c r="G38" i="29"/>
  <c r="M36" i="29"/>
  <c r="J36" i="29"/>
  <c r="G36" i="29"/>
  <c r="P36" i="29" s="1"/>
  <c r="M34" i="29"/>
  <c r="J34" i="29"/>
  <c r="G34" i="29"/>
  <c r="P34" i="29" s="1"/>
  <c r="M32" i="29"/>
  <c r="J32" i="29"/>
  <c r="P32" i="29" s="1"/>
  <c r="G32" i="29"/>
  <c r="M30" i="29"/>
  <c r="J30" i="29"/>
  <c r="G30" i="29"/>
  <c r="P30" i="29" s="1"/>
  <c r="M28" i="29"/>
  <c r="J28" i="29"/>
  <c r="G28" i="29"/>
  <c r="P28" i="29" s="1"/>
  <c r="M26" i="29"/>
  <c r="J26" i="29"/>
  <c r="G26" i="29"/>
  <c r="P26" i="29" s="1"/>
  <c r="M24" i="29"/>
  <c r="J24" i="29"/>
  <c r="P24" i="29" s="1"/>
  <c r="G24" i="29"/>
  <c r="M22" i="29"/>
  <c r="J22" i="29"/>
  <c r="G22" i="29"/>
  <c r="P22" i="29" s="1"/>
  <c r="M20" i="29"/>
  <c r="J20" i="29"/>
  <c r="G20" i="29"/>
  <c r="P20" i="29" s="1"/>
  <c r="M18" i="29"/>
  <c r="J18" i="29"/>
  <c r="G18" i="29"/>
  <c r="P18" i="29" s="1"/>
  <c r="M16" i="29"/>
  <c r="J16" i="29"/>
  <c r="P16" i="29" s="1"/>
  <c r="G16" i="29"/>
  <c r="M14" i="29"/>
  <c r="J14" i="29"/>
  <c r="G14" i="29"/>
  <c r="P14" i="29" s="1"/>
  <c r="M12" i="29"/>
  <c r="J12" i="29"/>
  <c r="G12" i="29"/>
  <c r="P12" i="29" s="1"/>
  <c r="M10" i="29"/>
  <c r="J10" i="29"/>
  <c r="G10" i="29"/>
  <c r="P10" i="29" s="1"/>
  <c r="M8" i="29"/>
  <c r="J8" i="29"/>
  <c r="P8" i="29" s="1"/>
  <c r="G8" i="29"/>
  <c r="M6" i="29"/>
  <c r="J6" i="29"/>
  <c r="G6" i="29"/>
  <c r="T49" i="28"/>
  <c r="M44" i="28"/>
  <c r="J44" i="28"/>
  <c r="G44" i="28"/>
  <c r="P44" i="28" s="1"/>
  <c r="M42" i="28"/>
  <c r="J42" i="28"/>
  <c r="G42" i="28"/>
  <c r="M40" i="28"/>
  <c r="J40" i="28"/>
  <c r="G40" i="28"/>
  <c r="M38" i="28"/>
  <c r="J38" i="28"/>
  <c r="P38" i="28" s="1"/>
  <c r="G38" i="28"/>
  <c r="M36" i="28"/>
  <c r="J36" i="28"/>
  <c r="G36" i="28"/>
  <c r="P36" i="28" s="1"/>
  <c r="M34" i="28"/>
  <c r="J34" i="28"/>
  <c r="G34" i="28"/>
  <c r="P34" i="28" s="1"/>
  <c r="M32" i="28"/>
  <c r="J32" i="28"/>
  <c r="G32" i="28"/>
  <c r="M30" i="28"/>
  <c r="J30" i="28"/>
  <c r="G30" i="28"/>
  <c r="M28" i="28"/>
  <c r="J28" i="28"/>
  <c r="G28" i="28"/>
  <c r="P28" i="28" s="1"/>
  <c r="M26" i="28"/>
  <c r="J26" i="28"/>
  <c r="G26" i="28"/>
  <c r="M24" i="28"/>
  <c r="J24" i="28"/>
  <c r="G24" i="28"/>
  <c r="M22" i="28"/>
  <c r="J22" i="28"/>
  <c r="G22" i="28"/>
  <c r="M20" i="28"/>
  <c r="J20" i="28"/>
  <c r="G20" i="28"/>
  <c r="M18" i="28"/>
  <c r="J18" i="28"/>
  <c r="G18" i="28"/>
  <c r="P18" i="28" s="1"/>
  <c r="M16" i="28"/>
  <c r="J16" i="28"/>
  <c r="G16" i="28"/>
  <c r="M14" i="28"/>
  <c r="J14" i="28"/>
  <c r="G14" i="28"/>
  <c r="P14" i="28" s="1"/>
  <c r="M12" i="28"/>
  <c r="J12" i="28"/>
  <c r="G12" i="28"/>
  <c r="P12" i="28" s="1"/>
  <c r="M10" i="28"/>
  <c r="J10" i="28"/>
  <c r="G10" i="28"/>
  <c r="M8" i="28"/>
  <c r="J8" i="28"/>
  <c r="G8" i="28"/>
  <c r="M6" i="28"/>
  <c r="J6" i="28"/>
  <c r="G6" i="28"/>
  <c r="T52" i="4"/>
  <c r="M44" i="4"/>
  <c r="M42" i="4"/>
  <c r="M40" i="4"/>
  <c r="M38" i="4"/>
  <c r="M36" i="4"/>
  <c r="M34" i="4"/>
  <c r="M32" i="4"/>
  <c r="M30" i="4"/>
  <c r="M28" i="4"/>
  <c r="M26" i="4"/>
  <c r="M24" i="4"/>
  <c r="M22" i="4"/>
  <c r="M20" i="4"/>
  <c r="M18" i="4"/>
  <c r="M16" i="4"/>
  <c r="M14" i="4"/>
  <c r="M12" i="4"/>
  <c r="M10" i="4"/>
  <c r="M8" i="4"/>
  <c r="M6" i="4"/>
  <c r="J8" i="4"/>
  <c r="J10" i="4"/>
  <c r="J12" i="4"/>
  <c r="J14" i="4"/>
  <c r="J16" i="4"/>
  <c r="J18" i="4"/>
  <c r="J20" i="4"/>
  <c r="J22" i="4"/>
  <c r="J24" i="4"/>
  <c r="J26" i="4"/>
  <c r="J28" i="4"/>
  <c r="J30" i="4"/>
  <c r="J32" i="4"/>
  <c r="J34" i="4"/>
  <c r="J36" i="4"/>
  <c r="J38" i="4"/>
  <c r="J40" i="4"/>
  <c r="J42" i="4"/>
  <c r="J44" i="4"/>
  <c r="G44" i="4"/>
  <c r="G42" i="4"/>
  <c r="G40" i="4"/>
  <c r="G38" i="4"/>
  <c r="G36" i="4"/>
  <c r="G34" i="4"/>
  <c r="G32" i="4"/>
  <c r="G30" i="4"/>
  <c r="G28" i="4"/>
  <c r="G26" i="4"/>
  <c r="G24" i="4"/>
  <c r="G22" i="4"/>
  <c r="G20" i="4"/>
  <c r="G18" i="4"/>
  <c r="G16" i="4"/>
  <c r="G14" i="4"/>
  <c r="G12" i="4"/>
  <c r="G10" i="4"/>
  <c r="G8" i="4"/>
  <c r="G6" i="4"/>
  <c r="J6" i="4"/>
  <c r="T49" i="4"/>
  <c r="P34" i="4"/>
  <c r="T51" i="38" l="1"/>
  <c r="T50" i="38"/>
  <c r="P6" i="38"/>
  <c r="T52" i="38"/>
  <c r="P6" i="37"/>
  <c r="T51" i="37" s="1"/>
  <c r="T50" i="36"/>
  <c r="T52" i="36"/>
  <c r="T51" i="36"/>
  <c r="P6" i="36"/>
  <c r="T52" i="35"/>
  <c r="T50" i="35"/>
  <c r="P6" i="35"/>
  <c r="T51" i="35" s="1"/>
  <c r="T52" i="34"/>
  <c r="T50" i="34"/>
  <c r="P6" i="34"/>
  <c r="T51" i="34" s="1"/>
  <c r="T51" i="33"/>
  <c r="T50" i="33"/>
  <c r="T53" i="33" s="1"/>
  <c r="T52" i="32"/>
  <c r="T51" i="32"/>
  <c r="P6" i="32"/>
  <c r="T50" i="32" s="1"/>
  <c r="T53" i="32" s="1"/>
  <c r="T52" i="31"/>
  <c r="T50" i="31"/>
  <c r="T53" i="31" s="1"/>
  <c r="P8" i="30"/>
  <c r="P32" i="30"/>
  <c r="P16" i="30"/>
  <c r="P40" i="30"/>
  <c r="P44" i="30"/>
  <c r="P34" i="30"/>
  <c r="P14" i="30"/>
  <c r="P24" i="30"/>
  <c r="T50" i="30"/>
  <c r="T51" i="30"/>
  <c r="P6" i="30"/>
  <c r="T52" i="30" s="1"/>
  <c r="P16" i="28"/>
  <c r="P8" i="28"/>
  <c r="P30" i="28"/>
  <c r="P40" i="28"/>
  <c r="P24" i="28"/>
  <c r="P26" i="28"/>
  <c r="P20" i="28"/>
  <c r="P10" i="28"/>
  <c r="P42" i="28"/>
  <c r="P22" i="28"/>
  <c r="P32" i="28"/>
  <c r="T52" i="29"/>
  <c r="P6" i="29"/>
  <c r="T50" i="29" s="1"/>
  <c r="P6" i="28"/>
  <c r="T52" i="28" s="1"/>
  <c r="T50" i="4"/>
  <c r="P38" i="4"/>
  <c r="P18" i="4"/>
  <c r="P44" i="4"/>
  <c r="P22" i="4"/>
  <c r="P6" i="4"/>
  <c r="T51" i="4" s="1"/>
  <c r="P14" i="4"/>
  <c r="P32" i="4"/>
  <c r="P30" i="4"/>
  <c r="P20" i="4"/>
  <c r="P36" i="4"/>
  <c r="P16" i="4"/>
  <c r="P10" i="4"/>
  <c r="P26" i="4"/>
  <c r="P42" i="4"/>
  <c r="P12" i="4"/>
  <c r="P28" i="4"/>
  <c r="P8" i="4"/>
  <c r="P24" i="4"/>
  <c r="P40" i="4"/>
  <c r="T53" i="38" l="1"/>
  <c r="T50" i="37"/>
  <c r="T52" i="37"/>
  <c r="T53" i="36"/>
  <c r="T53" i="35"/>
  <c r="T53" i="34"/>
  <c r="T53" i="30"/>
  <c r="T51" i="29"/>
  <c r="T53" i="29" s="1"/>
  <c r="T51" i="28"/>
  <c r="T50" i="28"/>
  <c r="T53" i="28" s="1"/>
  <c r="T53" i="37" l="1"/>
  <c r="T53" i="4"/>
  <c r="F8" i="15" l="1"/>
</calcChain>
</file>

<file path=xl/sharedStrings.xml><?xml version="1.0" encoding="utf-8"?>
<sst xmlns="http://schemas.openxmlformats.org/spreadsheetml/2006/main" count="9227" uniqueCount="89">
  <si>
    <t>A</t>
  </si>
  <si>
    <t>Key Legend</t>
  </si>
  <si>
    <t>Kehadiran Januari</t>
  </si>
  <si>
    <t>Pada kotak untuk setiap hari dalam seminggu, ketik huruf yang sesuai untuk menunjukkan status kehadiran.</t>
  </si>
  <si>
    <t>Hadir</t>
  </si>
  <si>
    <t>Terlambat</t>
  </si>
  <si>
    <t>Alfa</t>
  </si>
  <si>
    <t>Izin</t>
  </si>
  <si>
    <t>H</t>
  </si>
  <si>
    <t>T</t>
  </si>
  <si>
    <t>I</t>
  </si>
  <si>
    <t>Hadir:</t>
  </si>
  <si>
    <t>Terlambat:</t>
  </si>
  <si>
    <t>Tidak Hadir:</t>
  </si>
  <si>
    <t>Hadir%:</t>
  </si>
  <si>
    <t>Januari</t>
  </si>
  <si>
    <t>Laporan Bulan</t>
  </si>
  <si>
    <t>Ringkasan</t>
  </si>
  <si>
    <t>Divisi</t>
  </si>
  <si>
    <t>Catatan</t>
  </si>
  <si>
    <t>Statistik Januari</t>
  </si>
  <si>
    <t>Jumlah total hari kerja bulan ini:</t>
  </si>
  <si>
    <t>Karyawan A</t>
  </si>
  <si>
    <t>Karyawan B</t>
  </si>
  <si>
    <t>Karyawan C</t>
  </si>
  <si>
    <t>Karyawan D</t>
  </si>
  <si>
    <t>Karyawan E</t>
  </si>
  <si>
    <t>Karyawan F</t>
  </si>
  <si>
    <t>Karyawan G</t>
  </si>
  <si>
    <t>Karyawan H</t>
  </si>
  <si>
    <t>Karyawan I</t>
  </si>
  <si>
    <t>Karyawan J</t>
  </si>
  <si>
    <t>Karyawan K</t>
  </si>
  <si>
    <t>Karyawan L</t>
  </si>
  <si>
    <t>Karyawan M</t>
  </si>
  <si>
    <t>Karyawan N</t>
  </si>
  <si>
    <t>Karyawan O</t>
  </si>
  <si>
    <t>Karyawan P</t>
  </si>
  <si>
    <t>Karyawan Q</t>
  </si>
  <si>
    <t>Karyawan R</t>
  </si>
  <si>
    <t>Karyawan S</t>
  </si>
  <si>
    <t>Karyawan T</t>
  </si>
  <si>
    <t>Jumlah karyawan:</t>
  </si>
  <si>
    <t>Jumlah total hari kerja per bulan ini X jumlah karyawan:</t>
  </si>
  <si>
    <t>Total kehadiran bulan ini:</t>
  </si>
  <si>
    <t>Total terlambat bulan ini</t>
  </si>
  <si>
    <t>Total tidak hadir bulan ini</t>
  </si>
  <si>
    <t>Total kehadiran bulan ini %:</t>
  </si>
  <si>
    <t>Kehadiran Februari</t>
  </si>
  <si>
    <t>Februari</t>
  </si>
  <si>
    <t>Statistik Februari</t>
  </si>
  <si>
    <t>Maret</t>
  </si>
  <si>
    <t>Statistik Maret</t>
  </si>
  <si>
    <t>Kehadiran April</t>
  </si>
  <si>
    <t>April</t>
  </si>
  <si>
    <t>Statistik April</t>
  </si>
  <si>
    <t>Kehadiran Mei</t>
  </si>
  <si>
    <t>Kehadiran Maret</t>
  </si>
  <si>
    <t>Mei</t>
  </si>
  <si>
    <t>Statistik Mei</t>
  </si>
  <si>
    <t>Kehadiran Juni</t>
  </si>
  <si>
    <t>Juni</t>
  </si>
  <si>
    <t>Statistik Juni</t>
  </si>
  <si>
    <t>Statistik Juli</t>
  </si>
  <si>
    <t>Kehadiran Juli</t>
  </si>
  <si>
    <t>Juli</t>
  </si>
  <si>
    <t>Statistik Agustus</t>
  </si>
  <si>
    <t>Kehadiran Agustus</t>
  </si>
  <si>
    <t>Agustus</t>
  </si>
  <si>
    <t>Kehadiran September</t>
  </si>
  <si>
    <t>September</t>
  </si>
  <si>
    <t>Statistik September</t>
  </si>
  <si>
    <t>Kehadiran Oktober</t>
  </si>
  <si>
    <t>Oktober</t>
  </si>
  <si>
    <t>Statistik Oktober</t>
  </si>
  <si>
    <t>Kehadiran November</t>
  </si>
  <si>
    <t>November</t>
  </si>
  <si>
    <t>Statistik November</t>
  </si>
  <si>
    <t>Statistik Desember</t>
  </si>
  <si>
    <t>Desember</t>
  </si>
  <si>
    <t>Kehadiran Desember</t>
  </si>
  <si>
    <t>Total Terlambat</t>
  </si>
  <si>
    <t>Total Hadir</t>
  </si>
  <si>
    <t>Total Tidak Hadir</t>
  </si>
  <si>
    <t>Tingkat Ketepatan Waktu Tahunan</t>
  </si>
  <si>
    <t>Statistik Kehadiran Tahunan</t>
  </si>
  <si>
    <t>Dashboard Kehadiran</t>
  </si>
  <si>
    <t>Total terlambat bulan ini:</t>
  </si>
  <si>
    <t>Total tidak hadir bulan ini: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</si>
</sst>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4" x14ac:knownFonts="1">
    <font>
      <sz val="10"/>
      <color rgb="FF000000"/>
      <name val="Arial"/>
    </font>
    <font>
      <sz val="11"/>
      <color theme="1"/>
      <name val="Arial"/>
      <family val="2"/>
      <scheme val="minor"/>
    </font>
    <font>
      <sz val="8.5"/>
      <color theme="8" tint="-0.249977111117893"/>
      <name val="Century Gothic"/>
      <family val="1"/>
    </font>
    <font>
      <sz val="9"/>
      <color theme="8" tint="-0.249977111117893"/>
      <name val="Century Gothic"/>
      <family val="1"/>
    </font>
    <font>
      <sz val="9"/>
      <color theme="1"/>
      <name val="Century Gothic"/>
      <family val="1"/>
    </font>
    <font>
      <b/>
      <sz val="12"/>
      <color theme="8" tint="-0.499984740745262"/>
      <name val="Century Gothic"/>
      <family val="1"/>
    </font>
    <font>
      <sz val="10"/>
      <color rgb="FF000000"/>
      <name val="Century Gothic"/>
      <family val="1"/>
    </font>
    <font>
      <sz val="12"/>
      <color theme="1"/>
      <name val="Century Gothic"/>
      <family val="1"/>
    </font>
    <font>
      <sz val="10"/>
      <color theme="1"/>
      <name val="Century Gothic"/>
      <family val="1"/>
    </font>
    <font>
      <sz val="11"/>
      <color theme="1"/>
      <name val="Century Gothic"/>
      <family val="1"/>
    </font>
    <font>
      <b/>
      <sz val="16"/>
      <color theme="1"/>
      <name val="Century Gothic"/>
      <family val="1"/>
    </font>
    <font>
      <sz val="12"/>
      <name val="Century Gothic"/>
      <family val="1"/>
    </font>
    <font>
      <i/>
      <sz val="12"/>
      <color theme="1"/>
      <name val="Century Gothic"/>
      <family val="1"/>
    </font>
    <font>
      <b/>
      <sz val="8.5"/>
      <color theme="8" tint="-0.249977111117893"/>
      <name val="Century Gothic"/>
      <family val="1"/>
    </font>
    <font>
      <b/>
      <sz val="22"/>
      <color theme="1" tint="0.34998626667073579"/>
      <name val="Century Gothic"/>
      <family val="1"/>
    </font>
    <font>
      <sz val="16"/>
      <color theme="1" tint="0.34998626667073579"/>
      <name val="Century Gothic"/>
      <family val="1"/>
    </font>
    <font>
      <sz val="12"/>
      <color theme="1" tint="0.34998626667073579"/>
      <name val="Century Gothic"/>
      <family val="1"/>
    </font>
    <font>
      <sz val="12"/>
      <color theme="1" tint="0.34998626667073579"/>
      <name val="Century Gothic"/>
      <family val="2"/>
    </font>
    <font>
      <b/>
      <sz val="22"/>
      <color theme="1" tint="0.34998626667073579"/>
      <name val="Century Gothic"/>
      <family val="2"/>
    </font>
    <font>
      <sz val="18"/>
      <color theme="1" tint="0.34998626667073579"/>
      <name val="Century Gothic"/>
      <family val="1"/>
    </font>
    <font>
      <sz val="9"/>
      <color theme="1" tint="0.34998626667073579"/>
      <name val="Century Gothic"/>
      <family val="1"/>
    </font>
    <font>
      <sz val="16"/>
      <color theme="1" tint="0.34998626667073579"/>
      <name val="Century Gothic"/>
      <family val="2"/>
    </font>
    <font>
      <b/>
      <sz val="16"/>
      <color theme="1" tint="0.34998626667073579"/>
      <name val="Century Gothic"/>
      <family val="2"/>
    </font>
    <font>
      <b/>
      <i/>
      <sz val="12"/>
      <color theme="1"/>
      <name val="Century Gothic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FFE082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FFE082"/>
      </patternFill>
    </fill>
    <fill>
      <patternFill patternType="solid">
        <fgColor theme="0" tint="-4.9989318521683403E-2"/>
        <bgColor rgb="FFEFEFEF"/>
      </patternFill>
    </fill>
    <fill>
      <patternFill patternType="solid">
        <fgColor theme="0" tint="-0.14999847407452621"/>
        <bgColor rgb="FFFFE082"/>
      </patternFill>
    </fill>
    <fill>
      <patternFill patternType="solid">
        <fgColor theme="0" tint="-0.14999847407452621"/>
        <bgColor rgb="FF03A9F4"/>
      </patternFill>
    </fill>
    <fill>
      <patternFill patternType="solid">
        <fgColor theme="0" tint="-0.14999847407452621"/>
        <bgColor rgb="FFCCCC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rgb="FF03A9F4"/>
      </patternFill>
    </fill>
    <fill>
      <patternFill patternType="solid">
        <fgColor rgb="FFF4EEA2"/>
        <bgColor rgb="FFFFE082"/>
      </patternFill>
    </fill>
    <fill>
      <patternFill patternType="solid">
        <fgColor rgb="FFF4EEA2"/>
        <bgColor indexed="64"/>
      </patternFill>
    </fill>
    <fill>
      <patternFill patternType="solid">
        <fgColor rgb="FFE6D92E"/>
        <bgColor indexed="64"/>
      </patternFill>
    </fill>
    <fill>
      <patternFill patternType="solid">
        <fgColor rgb="FFE6D92E"/>
        <bgColor rgb="FFFFE082"/>
      </patternFill>
    </fill>
  </fills>
  <borders count="28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dashed">
        <color theme="0" tint="-0.249977111117893"/>
      </bottom>
      <diagonal/>
    </border>
    <border>
      <left style="thin">
        <color theme="0" tint="-0.24994659260841701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4659260841701"/>
      </left>
      <right/>
      <top style="medium">
        <color theme="0" tint="-0.249977111117893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theme="0" tint="-0.249977111117893"/>
      </top>
      <bottom style="thin">
        <color theme="0" tint="-0.24994659260841701"/>
      </bottom>
      <diagonal/>
    </border>
    <border>
      <left/>
      <right/>
      <top style="medium">
        <color theme="0" tint="-0.249977111117893"/>
      </top>
      <bottom style="thin">
        <color theme="0" tint="-0.24994659260841701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thin">
        <color theme="0" tint="-0.249977111117893"/>
      </bottom>
      <diagonal/>
    </border>
    <border>
      <left/>
      <right/>
      <top style="medium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/>
      <top style="medium">
        <color theme="0" tint="-0.249977111117893"/>
      </top>
      <bottom style="dashed">
        <color theme="0" tint="-0.249977111117893"/>
      </bottom>
      <diagonal/>
    </border>
    <border>
      <left/>
      <right/>
      <top style="medium">
        <color theme="0" tint="-0.249977111117893"/>
      </top>
      <bottom style="dashed">
        <color theme="0" tint="-0.249977111117893"/>
      </bottom>
      <diagonal/>
    </border>
    <border>
      <left/>
      <right style="thin">
        <color theme="0" tint="-0.24994659260841701"/>
      </right>
      <top style="medium">
        <color theme="0" tint="-0.249977111117893"/>
      </top>
      <bottom style="dashed">
        <color theme="0" tint="-0.249977111117893"/>
      </bottom>
      <diagonal/>
    </border>
    <border>
      <left/>
      <right/>
      <top/>
      <bottom style="thick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78">
    <xf numFmtId="0" fontId="0" fillId="0" borderId="0" xfId="0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vertical="top" wrapText="1"/>
    </xf>
    <xf numFmtId="0" fontId="8" fillId="0" borderId="0" xfId="0" applyFont="1"/>
    <xf numFmtId="0" fontId="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4" borderId="10" xfId="0" applyFont="1" applyFill="1" applyBorder="1" applyAlignment="1">
      <alignment horizontal="right" vertical="center"/>
    </xf>
    <xf numFmtId="0" fontId="13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10" fillId="0" borderId="20" xfId="0" applyFont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9" fontId="5" fillId="11" borderId="6" xfId="0" applyNumberFormat="1" applyFont="1" applyFill="1" applyBorder="1" applyAlignment="1">
      <alignment horizontal="center" vertical="center"/>
    </xf>
    <xf numFmtId="0" fontId="13" fillId="11" borderId="6" xfId="0" applyFont="1" applyFill="1" applyBorder="1" applyAlignment="1">
      <alignment vertical="center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0" fillId="17" borderId="20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9" borderId="0" xfId="0" applyFont="1" applyFill="1"/>
    <xf numFmtId="0" fontId="16" fillId="18" borderId="1" xfId="0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horizontal="left" vertical="center" indent="1"/>
    </xf>
    <xf numFmtId="0" fontId="18" fillId="0" borderId="0" xfId="0" applyFont="1" applyAlignment="1">
      <alignment vertical="center"/>
    </xf>
    <xf numFmtId="0" fontId="18" fillId="7" borderId="24" xfId="0" applyFont="1" applyFill="1" applyBorder="1" applyAlignment="1">
      <alignment horizontal="center" vertical="center"/>
    </xf>
    <xf numFmtId="0" fontId="22" fillId="19" borderId="5" xfId="0" applyFont="1" applyFill="1" applyBorder="1" applyAlignment="1">
      <alignment horizontal="center" vertical="center"/>
    </xf>
    <xf numFmtId="0" fontId="22" fillId="19" borderId="1" xfId="0" applyFont="1" applyFill="1" applyBorder="1" applyAlignment="1">
      <alignment horizontal="center" vertical="center"/>
    </xf>
    <xf numFmtId="10" fontId="22" fillId="19" borderId="1" xfId="0" applyNumberFormat="1" applyFont="1" applyFill="1" applyBorder="1" applyAlignment="1">
      <alignment horizontal="center" vertical="center"/>
    </xf>
    <xf numFmtId="0" fontId="21" fillId="20" borderId="25" xfId="0" applyFont="1" applyFill="1" applyBorder="1" applyAlignment="1">
      <alignment horizontal="center" vertical="center"/>
    </xf>
    <xf numFmtId="0" fontId="21" fillId="20" borderId="26" xfId="0" applyFont="1" applyFill="1" applyBorder="1" applyAlignment="1">
      <alignment horizontal="center" vertical="center"/>
    </xf>
    <xf numFmtId="0" fontId="21" fillId="20" borderId="27" xfId="0" applyFont="1" applyFill="1" applyBorder="1" applyAlignment="1">
      <alignment horizontal="center" vertical="center"/>
    </xf>
    <xf numFmtId="0" fontId="21" fillId="20" borderId="2" xfId="0" applyFont="1" applyFill="1" applyBorder="1" applyAlignment="1">
      <alignment horizontal="center" vertical="center"/>
    </xf>
    <xf numFmtId="0" fontId="21" fillId="20" borderId="3" xfId="0" applyFont="1" applyFill="1" applyBorder="1" applyAlignment="1">
      <alignment horizontal="center" vertical="center"/>
    </xf>
    <xf numFmtId="0" fontId="21" fillId="20" borderId="4" xfId="0" applyFont="1" applyFill="1" applyBorder="1" applyAlignment="1">
      <alignment horizontal="center" vertical="center"/>
    </xf>
    <xf numFmtId="0" fontId="21" fillId="20" borderId="2" xfId="0" applyFont="1" applyFill="1" applyBorder="1" applyAlignment="1">
      <alignment horizontal="center" vertical="center" wrapText="1"/>
    </xf>
    <xf numFmtId="0" fontId="21" fillId="20" borderId="3" xfId="0" applyFont="1" applyFill="1" applyBorder="1" applyAlignment="1">
      <alignment horizontal="center" vertical="center" wrapText="1"/>
    </xf>
    <xf numFmtId="0" fontId="21" fillId="20" borderId="4" xfId="0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23" fillId="7" borderId="0" xfId="0" applyFont="1" applyFill="1" applyAlignment="1">
      <alignment horizontal="right" vertical="center" wrapText="1" indent="1"/>
    </xf>
    <xf numFmtId="0" fontId="7" fillId="16" borderId="17" xfId="0" applyFont="1" applyFill="1" applyBorder="1" applyAlignment="1">
      <alignment horizontal="left" vertical="center" wrapText="1" indent="1"/>
    </xf>
    <xf numFmtId="0" fontId="7" fillId="16" borderId="19" xfId="0" applyFont="1" applyFill="1" applyBorder="1" applyAlignment="1">
      <alignment horizontal="left" vertical="center" wrapText="1" indent="1"/>
    </xf>
    <xf numFmtId="0" fontId="7" fillId="5" borderId="17" xfId="0" applyFont="1" applyFill="1" applyBorder="1" applyAlignment="1">
      <alignment horizontal="left" vertical="center" wrapText="1" indent="1"/>
    </xf>
    <xf numFmtId="0" fontId="7" fillId="5" borderId="18" xfId="0" applyFont="1" applyFill="1" applyBorder="1" applyAlignment="1">
      <alignment horizontal="left" vertical="center" wrapText="1" indent="1"/>
    </xf>
    <xf numFmtId="0" fontId="7" fillId="6" borderId="17" xfId="0" applyFont="1" applyFill="1" applyBorder="1" applyAlignment="1">
      <alignment horizontal="left" vertical="center" wrapText="1" indent="1"/>
    </xf>
    <xf numFmtId="0" fontId="7" fillId="6" borderId="19" xfId="0" applyFont="1" applyFill="1" applyBorder="1" applyAlignment="1">
      <alignment horizontal="left" vertical="center" wrapText="1" indent="1"/>
    </xf>
    <xf numFmtId="0" fontId="19" fillId="20" borderId="12" xfId="0" applyFont="1" applyFill="1" applyBorder="1" applyAlignment="1">
      <alignment horizontal="center" vertical="center"/>
    </xf>
    <xf numFmtId="0" fontId="19" fillId="21" borderId="2" xfId="0" applyFont="1" applyFill="1" applyBorder="1" applyAlignment="1">
      <alignment horizontal="center" vertical="center"/>
    </xf>
    <xf numFmtId="0" fontId="19" fillId="21" borderId="3" xfId="0" applyFon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left" vertical="center" wrapText="1" indent="1"/>
    </xf>
    <xf numFmtId="0" fontId="20" fillId="10" borderId="1" xfId="0" applyFont="1" applyFill="1" applyBorder="1" applyAlignment="1">
      <alignment horizontal="right" vertical="center" indent="1"/>
    </xf>
    <xf numFmtId="0" fontId="16" fillId="2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right" vertical="center" wrapText="1" indent="1"/>
    </xf>
    <xf numFmtId="9" fontId="16" fillId="19" borderId="2" xfId="0" applyNumberFormat="1" applyFont="1" applyFill="1" applyBorder="1" applyAlignment="1">
      <alignment horizontal="center" vertical="center"/>
    </xf>
    <xf numFmtId="9" fontId="16" fillId="19" borderId="3" xfId="0" applyNumberFormat="1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19" borderId="2" xfId="0" applyFont="1" applyFill="1" applyBorder="1" applyAlignment="1">
      <alignment horizontal="center" vertical="center"/>
    </xf>
    <xf numFmtId="0" fontId="16" fillId="19" borderId="3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left" vertical="center" wrapText="1" indent="1"/>
    </xf>
    <xf numFmtId="0" fontId="9" fillId="8" borderId="16" xfId="0" applyFont="1" applyFill="1" applyBorder="1" applyAlignment="1">
      <alignment horizontal="left" vertical="center" wrapText="1" indent="1"/>
    </xf>
    <xf numFmtId="0" fontId="9" fillId="8" borderId="15" xfId="0" applyFont="1" applyFill="1" applyBorder="1" applyAlignment="1">
      <alignment horizontal="left" vertical="center" wrapText="1" indent="1"/>
    </xf>
    <xf numFmtId="0" fontId="3" fillId="9" borderId="8" xfId="0" applyFont="1" applyFill="1" applyBorder="1" applyAlignment="1">
      <alignment horizontal="left" vertical="center" indent="1"/>
    </xf>
    <xf numFmtId="0" fontId="3" fillId="9" borderId="9" xfId="0" applyFont="1" applyFill="1" applyBorder="1" applyAlignment="1">
      <alignment horizontal="left" vertical="center" indent="1"/>
    </xf>
    <xf numFmtId="0" fontId="4" fillId="11" borderId="6" xfId="0" applyFont="1" applyFill="1" applyBorder="1" applyAlignment="1">
      <alignment horizontal="right" vertical="center"/>
    </xf>
    <xf numFmtId="0" fontId="4" fillId="7" borderId="6" xfId="0" applyFont="1" applyFill="1" applyBorder="1" applyAlignment="1">
      <alignment horizontal="right"/>
    </xf>
    <xf numFmtId="0" fontId="9" fillId="8" borderId="21" xfId="0" applyFont="1" applyFill="1" applyBorder="1" applyAlignment="1">
      <alignment horizontal="left" vertical="center" wrapText="1" indent="1"/>
    </xf>
    <xf numFmtId="0" fontId="9" fillId="8" borderId="22" xfId="0" applyFont="1" applyFill="1" applyBorder="1" applyAlignment="1">
      <alignment horizontal="left" vertical="center" wrapText="1" indent="1"/>
    </xf>
    <xf numFmtId="0" fontId="9" fillId="8" borderId="23" xfId="0" applyFont="1" applyFill="1" applyBorder="1" applyAlignment="1">
      <alignment horizontal="left" vertical="center" wrapText="1" indent="1"/>
    </xf>
    <xf numFmtId="0" fontId="9" fillId="8" borderId="7" xfId="0" applyFont="1" applyFill="1" applyBorder="1" applyAlignment="1">
      <alignment horizontal="left" vertical="center" wrapText="1" indent="1"/>
    </xf>
    <xf numFmtId="0" fontId="15" fillId="20" borderId="2" xfId="0" applyFont="1" applyFill="1" applyBorder="1" applyAlignment="1">
      <alignment horizontal="left" vertical="center" indent="1"/>
    </xf>
    <xf numFmtId="0" fontId="15" fillId="20" borderId="4" xfId="0" applyFont="1" applyFill="1" applyBorder="1" applyAlignment="1">
      <alignment horizontal="left" vertical="center" indent="1"/>
    </xf>
    <xf numFmtId="0" fontId="9" fillId="8" borderId="11" xfId="0" applyFont="1" applyFill="1" applyBorder="1" applyAlignment="1">
      <alignment horizontal="left" vertical="center" wrapText="1" indent="1"/>
    </xf>
    <xf numFmtId="0" fontId="12" fillId="0" borderId="0" xfId="0" applyFont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C5B38EBB-C2CB-4517-B7C6-94CA4722A103}"/>
  </cellStyles>
  <dxfs count="139"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9"/>
      </font>
      <fill>
        <patternFill patternType="solid">
          <fgColor auto="1"/>
          <bgColor theme="9" tint="0.79998168889431442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9"/>
      </font>
      <fill>
        <patternFill patternType="solid">
          <fgColor auto="1"/>
          <bgColor theme="9" tint="0.79998168889431442"/>
        </patternFill>
      </fill>
    </dxf>
    <dxf>
      <font>
        <color theme="0" tint="-4.9989318521683403E-2"/>
      </font>
      <fill>
        <patternFill>
          <bgColor theme="2" tint="-0.24994659260841701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0" tint="-4.9989318521683403E-2"/>
      </font>
      <fill>
        <patternFill patternType="solid">
          <fgColor auto="1"/>
          <bgColor theme="2" tint="-0.24994659260841701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9"/>
      </font>
      <fill>
        <patternFill patternType="solid">
          <fgColor auto="1"/>
          <bgColor theme="9" tint="0.79998168889431442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9"/>
      </font>
      <fill>
        <patternFill patternType="solid">
          <fgColor auto="1"/>
          <bgColor theme="9" tint="0.79998168889431442"/>
        </patternFill>
      </fill>
    </dxf>
    <dxf>
      <font>
        <color theme="0" tint="-4.9989318521683403E-2"/>
      </font>
      <fill>
        <patternFill>
          <bgColor theme="2" tint="-0.24994659260841701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0" tint="-4.9989318521683403E-2"/>
      </font>
      <fill>
        <patternFill patternType="solid">
          <fgColor auto="1"/>
          <bgColor theme="2" tint="-0.24994659260841701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9"/>
      </font>
      <fill>
        <patternFill patternType="solid">
          <fgColor auto="1"/>
          <bgColor theme="9" tint="0.79998168889431442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9"/>
      </font>
      <fill>
        <patternFill patternType="solid">
          <fgColor auto="1"/>
          <bgColor theme="9" tint="0.79998168889431442"/>
        </patternFill>
      </fill>
    </dxf>
    <dxf>
      <font>
        <color theme="0" tint="-4.9989318521683403E-2"/>
      </font>
      <fill>
        <patternFill>
          <bgColor theme="2" tint="-0.24994659260841701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0" tint="-4.9989318521683403E-2"/>
      </font>
      <fill>
        <patternFill patternType="solid">
          <fgColor auto="1"/>
          <bgColor theme="2" tint="-0.24994659260841701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9"/>
      </font>
      <fill>
        <patternFill patternType="solid">
          <fgColor auto="1"/>
          <bgColor theme="9" tint="0.79998168889431442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9"/>
      </font>
      <fill>
        <patternFill patternType="solid">
          <fgColor auto="1"/>
          <bgColor theme="9" tint="0.79998168889431442"/>
        </patternFill>
      </fill>
    </dxf>
    <dxf>
      <font>
        <color theme="0" tint="-4.9989318521683403E-2"/>
      </font>
      <fill>
        <patternFill>
          <bgColor theme="2" tint="-0.24994659260841701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0" tint="-4.9989318521683403E-2"/>
      </font>
      <fill>
        <patternFill patternType="solid">
          <fgColor auto="1"/>
          <bgColor theme="2" tint="-0.24994659260841701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9"/>
      </font>
      <fill>
        <patternFill patternType="solid">
          <fgColor auto="1"/>
          <bgColor theme="9" tint="0.79998168889431442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9"/>
      </font>
      <fill>
        <patternFill patternType="solid">
          <fgColor auto="1"/>
          <bgColor theme="9" tint="0.79998168889431442"/>
        </patternFill>
      </fill>
    </dxf>
    <dxf>
      <font>
        <color theme="0" tint="-4.9989318521683403E-2"/>
      </font>
      <fill>
        <patternFill>
          <bgColor theme="2" tint="-0.24994659260841701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0" tint="-4.9989318521683403E-2"/>
      </font>
      <fill>
        <patternFill patternType="solid">
          <fgColor auto="1"/>
          <bgColor theme="2" tint="-0.24994659260841701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9"/>
      </font>
      <fill>
        <patternFill patternType="solid">
          <fgColor auto="1"/>
          <bgColor theme="9" tint="0.79998168889431442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9"/>
      </font>
      <fill>
        <patternFill patternType="solid">
          <fgColor auto="1"/>
          <bgColor theme="9" tint="0.79998168889431442"/>
        </patternFill>
      </fill>
    </dxf>
    <dxf>
      <font>
        <color theme="0" tint="-4.9989318521683403E-2"/>
      </font>
      <fill>
        <patternFill>
          <bgColor theme="2" tint="-0.24994659260841701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0" tint="-4.9989318521683403E-2"/>
      </font>
      <fill>
        <patternFill patternType="solid">
          <fgColor auto="1"/>
          <bgColor theme="2" tint="-0.24994659260841701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9"/>
      </font>
      <fill>
        <patternFill patternType="solid">
          <fgColor auto="1"/>
          <bgColor theme="9" tint="0.79998168889431442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9"/>
      </font>
      <fill>
        <patternFill patternType="solid">
          <fgColor auto="1"/>
          <bgColor theme="9" tint="0.79998168889431442"/>
        </patternFill>
      </fill>
    </dxf>
    <dxf>
      <font>
        <color theme="0" tint="-4.9989318521683403E-2"/>
      </font>
      <fill>
        <patternFill>
          <bgColor theme="2" tint="-0.24994659260841701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0" tint="-4.9989318521683403E-2"/>
      </font>
      <fill>
        <patternFill patternType="solid">
          <fgColor auto="1"/>
          <bgColor theme="2" tint="-0.24994659260841701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9"/>
      </font>
      <fill>
        <patternFill patternType="solid">
          <fgColor auto="1"/>
          <bgColor theme="9" tint="0.79998168889431442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9"/>
      </font>
      <fill>
        <patternFill patternType="solid">
          <fgColor auto="1"/>
          <bgColor theme="9" tint="0.79998168889431442"/>
        </patternFill>
      </fill>
    </dxf>
    <dxf>
      <font>
        <color theme="0" tint="-4.9989318521683403E-2"/>
      </font>
      <fill>
        <patternFill>
          <bgColor theme="2" tint="-0.24994659260841701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0" tint="-4.9989318521683403E-2"/>
      </font>
      <fill>
        <patternFill patternType="solid">
          <fgColor auto="1"/>
          <bgColor theme="2" tint="-0.24994659260841701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9"/>
      </font>
      <fill>
        <patternFill patternType="solid">
          <fgColor auto="1"/>
          <bgColor theme="9" tint="0.79998168889431442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9"/>
      </font>
      <fill>
        <patternFill patternType="solid">
          <fgColor auto="1"/>
          <bgColor theme="9" tint="0.79998168889431442"/>
        </patternFill>
      </fill>
    </dxf>
    <dxf>
      <font>
        <color theme="0" tint="-4.9989318521683403E-2"/>
      </font>
      <fill>
        <patternFill>
          <bgColor theme="2" tint="-0.24994659260841701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0" tint="-4.9989318521683403E-2"/>
      </font>
      <fill>
        <patternFill patternType="solid">
          <fgColor auto="1"/>
          <bgColor theme="2" tint="-0.24994659260841701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9"/>
      </font>
      <fill>
        <patternFill patternType="solid">
          <fgColor auto="1"/>
          <bgColor theme="9" tint="0.79998168889431442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9"/>
      </font>
      <fill>
        <patternFill patternType="solid">
          <fgColor auto="1"/>
          <bgColor theme="9" tint="0.79998168889431442"/>
        </patternFill>
      </fill>
    </dxf>
    <dxf>
      <font>
        <color theme="0" tint="-4.9989318521683403E-2"/>
      </font>
      <fill>
        <patternFill>
          <bgColor theme="2" tint="-0.24994659260841701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0" tint="-4.9989318521683403E-2"/>
      </font>
      <fill>
        <patternFill patternType="solid">
          <fgColor auto="1"/>
          <bgColor theme="2" tint="-0.24994659260841701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9"/>
      </font>
      <fill>
        <patternFill patternType="solid">
          <fgColor auto="1"/>
          <bgColor theme="9" tint="0.79998168889431442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9"/>
      </font>
      <fill>
        <patternFill patternType="solid">
          <fgColor auto="1"/>
          <bgColor theme="9" tint="0.79998168889431442"/>
        </patternFill>
      </fill>
    </dxf>
    <dxf>
      <font>
        <color theme="0" tint="-4.9989318521683403E-2"/>
      </font>
      <fill>
        <patternFill>
          <bgColor theme="2" tint="-0.24994659260841701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0" tint="-4.9989318521683403E-2"/>
      </font>
      <fill>
        <patternFill patternType="solid">
          <fgColor auto="1"/>
          <bgColor theme="2" tint="-0.24994659260841701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9"/>
      </font>
      <fill>
        <patternFill patternType="solid">
          <fgColor auto="1"/>
          <bgColor theme="9" tint="0.79998168889431442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9"/>
      </font>
      <fill>
        <patternFill patternType="solid">
          <fgColor auto="1"/>
          <bgColor theme="9" tint="0.79998168889431442"/>
        </patternFill>
      </fill>
    </dxf>
    <dxf>
      <font>
        <color theme="0" tint="-4.9989318521683403E-2"/>
      </font>
      <fill>
        <patternFill>
          <bgColor theme="2" tint="-0.24994659260841701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0" tint="-4.9989318521683403E-2"/>
      </font>
      <fill>
        <patternFill patternType="solid">
          <fgColor auto="1"/>
          <bgColor theme="2" tint="-0.24994659260841701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9"/>
      </font>
      <fill>
        <patternFill patternType="solid">
          <fgColor auto="1"/>
          <bgColor theme="9" tint="0.79998168889431442"/>
        </patternFill>
      </fill>
    </dxf>
    <dxf>
      <font>
        <color rgb="FFF9CBAD"/>
      </font>
      <fill>
        <patternFill patternType="solid">
          <fgColor auto="1"/>
          <bgColor rgb="FFF97239"/>
        </patternFill>
      </fill>
    </dxf>
    <dxf>
      <font>
        <color theme="8" tint="0.79998168889431442"/>
      </font>
      <fill>
        <patternFill patternType="solid">
          <fgColor auto="1"/>
          <bgColor theme="8" tint="-0.24994659260841701"/>
        </patternFill>
      </fill>
    </dxf>
    <dxf>
      <font>
        <color theme="9"/>
      </font>
      <fill>
        <patternFill patternType="solid">
          <fgColor auto="1"/>
          <bgColor theme="9" tint="0.79998168889431442"/>
        </patternFill>
      </fill>
    </dxf>
    <dxf>
      <font>
        <color theme="0" tint="-4.9989318521683403E-2"/>
      </font>
      <fill>
        <patternFill>
          <bgColor theme="2" tint="-0.24994659260841701"/>
        </patternFill>
      </fill>
    </dxf>
  </dxfs>
  <tableStyles count="1" defaultTableStyle="TableStyleMedium2" defaultPivotStyle="PivotStyleLight16">
    <tableStyle name="Invisible" pivot="0" table="0" count="0" xr9:uid="{5B4DC4D1-4BBE-4ED7-9B02-5BDD1FE64468}"/>
  </tableStyles>
  <colors>
    <mruColors>
      <color rgb="FFEAF6FC"/>
      <color rgb="FFF9F6CB"/>
      <color rgb="FFC1EFE9"/>
      <color rgb="FFF4EEA2"/>
      <color rgb="FFF9CBAD"/>
      <color rgb="FF05BAAA"/>
      <color rgb="FF00BD32"/>
      <color rgb="FFE6D92E"/>
      <color rgb="FFF972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200">
                <a:latin typeface="Century Gothic" panose="020B0502020202020204" pitchFamily="34" charset="0"/>
              </a:rPr>
              <a:t>Januari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7"/>
          <c:order val="7"/>
          <c:tx>
            <c:strRef>
              <c:f>Januari!$T$46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9F6C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1AD-4DB6-9B27-69D579809DAE}"/>
              </c:ext>
            </c:extLst>
          </c:dPt>
          <c:dPt>
            <c:idx val="1"/>
            <c:invertIfNegative val="0"/>
            <c:bubble3D val="0"/>
            <c:spPr>
              <a:solidFill>
                <a:srgbClr val="EAF6F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1AD-4DB6-9B27-69D579809DA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1AD-4DB6-9B27-69D579809D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Januari!$L$47:$L$53</c15:sqref>
                  </c15:fullRef>
                </c:ext>
              </c:extLst>
              <c:f>Januari!$L$50:$L$52</c:f>
              <c:strCache>
                <c:ptCount val="3"/>
                <c:pt idx="0">
                  <c:v>Total kehadiran bulan ini:</c:v>
                </c:pt>
                <c:pt idx="1">
                  <c:v>Total terlambat bulan ini</c:v>
                </c:pt>
                <c:pt idx="2">
                  <c:v>Total tidak hadir bulan ini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Januari!$T$47:$T$53</c15:sqref>
                  </c15:fullRef>
                </c:ext>
              </c:extLst>
              <c:f>Januari!$T$50:$T$52</c:f>
              <c:numCache>
                <c:formatCode>General</c:formatCode>
                <c:ptCount val="3"/>
                <c:pt idx="0">
                  <c:v>444</c:v>
                </c:pt>
                <c:pt idx="1">
                  <c:v>96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AD-4DB6-9B27-69D579809D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12098847"/>
        <c:axId val="111210076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Januari!$M$46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Januari!$L$47:$L$53</c15:sqref>
                        </c15:fullRef>
                        <c15:formulaRef>
                          <c15:sqref>Januari!$L$50:$L$52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</c:v>
                      </c:pt>
                      <c:pt idx="2">
                        <c:v>Total tidak hadir bulan ini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Januari!$M$47:$M$53</c15:sqref>
                        </c15:fullRef>
                        <c15:formulaRef>
                          <c15:sqref>Januari!$M$50:$M$52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91AD-4DB6-9B27-69D579809DA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Januari!$N$46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Januari!$L$47:$L$53</c15:sqref>
                        </c15:fullRef>
                        <c15:formulaRef>
                          <c15:sqref>Januari!$L$50:$L$52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</c:v>
                      </c:pt>
                      <c:pt idx="2">
                        <c:v>Total tidak hadir bulan ini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Januari!$N$47:$N$53</c15:sqref>
                        </c15:fullRef>
                        <c15:formulaRef>
                          <c15:sqref>Januari!$N$50:$N$52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1AD-4DB6-9B27-69D579809DAE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Januari!$O$46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Januari!$L$47:$L$53</c15:sqref>
                        </c15:fullRef>
                        <c15:formulaRef>
                          <c15:sqref>Januari!$L$50:$L$52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</c:v>
                      </c:pt>
                      <c:pt idx="2">
                        <c:v>Total tidak hadir bulan ini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Januari!$O$47:$O$53</c15:sqref>
                        </c15:fullRef>
                        <c15:formulaRef>
                          <c15:sqref>Januari!$O$50:$O$52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1AD-4DB6-9B27-69D579809DA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Januari!$P$46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Januari!$L$47:$L$53</c15:sqref>
                        </c15:fullRef>
                        <c15:formulaRef>
                          <c15:sqref>Januari!$L$50:$L$52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</c:v>
                      </c:pt>
                      <c:pt idx="2">
                        <c:v>Total tidak hadir bulan ini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Januari!$P$47:$P$53</c15:sqref>
                        </c15:fullRef>
                        <c15:formulaRef>
                          <c15:sqref>Januari!$P$50:$P$52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1AD-4DB6-9B27-69D579809DAE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Januari!$Q$46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Januari!$L$47:$L$53</c15:sqref>
                        </c15:fullRef>
                        <c15:formulaRef>
                          <c15:sqref>Januari!$L$50:$L$52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</c:v>
                      </c:pt>
                      <c:pt idx="2">
                        <c:v>Total tidak hadir bulan ini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Januari!$Q$47:$Q$53</c15:sqref>
                        </c15:fullRef>
                        <c15:formulaRef>
                          <c15:sqref>Januari!$Q$50:$Q$52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1AD-4DB6-9B27-69D579809DAE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Januari!$R$46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Januari!$L$47:$L$53</c15:sqref>
                        </c15:fullRef>
                        <c15:formulaRef>
                          <c15:sqref>Januari!$L$50:$L$52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</c:v>
                      </c:pt>
                      <c:pt idx="2">
                        <c:v>Total tidak hadir bulan ini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Januari!$R$47:$R$53</c15:sqref>
                        </c15:fullRef>
                        <c15:formulaRef>
                          <c15:sqref>Januari!$R$50:$R$52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1AD-4DB6-9B27-69D579809DAE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Januari!$S$46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Januari!$L$47:$L$53</c15:sqref>
                        </c15:fullRef>
                        <c15:formulaRef>
                          <c15:sqref>Januari!$L$50:$L$52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</c:v>
                      </c:pt>
                      <c:pt idx="2">
                        <c:v>Total tidak hadir bulan ini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Januari!$S$47:$S$53</c15:sqref>
                        </c15:fullRef>
                        <c15:formulaRef>
                          <c15:sqref>Januari!$S$50:$S$52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91AD-4DB6-9B27-69D579809DAE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Januari!$U$46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Januari!$L$47:$L$53</c15:sqref>
                        </c15:fullRef>
                        <c15:formulaRef>
                          <c15:sqref>Januari!$L$50:$L$52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</c:v>
                      </c:pt>
                      <c:pt idx="2">
                        <c:v>Total tidak hadir bulan ini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Januari!$U$47:$U$53</c15:sqref>
                        </c15:fullRef>
                        <c15:formulaRef>
                          <c15:sqref>Januari!$U$50:$U$52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91AD-4DB6-9B27-69D579809DAE}"/>
                  </c:ext>
                </c:extLst>
              </c15:ser>
            </c15:filteredBarSeries>
          </c:ext>
        </c:extLst>
      </c:barChart>
      <c:catAx>
        <c:axId val="1112098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112100767"/>
        <c:crosses val="autoZero"/>
        <c:auto val="1"/>
        <c:lblAlgn val="ctr"/>
        <c:lblOffset val="100"/>
        <c:noMultiLvlLbl val="0"/>
      </c:catAx>
      <c:valAx>
        <c:axId val="1112100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09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200">
                <a:latin typeface="Century Gothic" panose="020B0502020202020204" pitchFamily="34" charset="0"/>
              </a:rPr>
              <a:t>Month 2 by</a:t>
            </a:r>
            <a:r>
              <a:rPr lang="en-US" sz="2200" baseline="0">
                <a:latin typeface="Century Gothic" panose="020B0502020202020204" pitchFamily="34" charset="0"/>
              </a:rPr>
              <a:t> Status</a:t>
            </a:r>
            <a:endParaRPr lang="en-US" sz="2200">
              <a:latin typeface="Century Gothic" panose="020B0502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12098847"/>
        <c:axId val="111210076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7-A57F-4830-8E05-3A9D6EF2AE68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8-A57F-4830-8E05-3A9D6EF2AE68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9-A57F-4830-8E05-3A9D6EF2AE68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A-A57F-4830-8E05-3A9D6EF2AE68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B-A57F-4830-8E05-3A9D6EF2AE68}"/>
                  </c:ext>
                </c:extLst>
              </c15:ser>
            </c15:filteredBarSeries>
            <c15:filteredBarSeries>
              <c15:ser>
                <c:idx val="5"/>
                <c:order val="5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C-A57F-4830-8E05-3A9D6EF2AE68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D-A57F-4830-8E05-3A9D6EF2AE68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0"/>
                  <c:invertIfNegative val="0"/>
                  <c:bubble3D val="0"/>
                  <c:spPr>
                    <a:solidFill>
                      <a:schemeClr val="accent6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1-A57F-4830-8E05-3A9D6EF2AE68}"/>
                    </c:ext>
                  </c:extLst>
                </c:dPt>
                <c:dPt>
                  <c:idx val="1"/>
                  <c:invertIfNegative val="0"/>
                  <c:bubble3D val="0"/>
                  <c:spPr>
                    <a:solidFill>
                      <a:schemeClr val="accent5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3-A57F-4830-8E05-3A9D6EF2AE68}"/>
                    </c:ext>
                  </c:extLst>
                </c:dPt>
                <c:dPt>
                  <c:idx val="2"/>
                  <c:invertIfNegative val="0"/>
                  <c:bubble3D val="0"/>
                  <c:spPr>
                    <a:solidFill>
                      <a:schemeClr val="accent2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5-A57F-4830-8E05-3A9D6EF2AE68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6-A57F-4830-8E05-3A9D6EF2AE68}"/>
                  </c:ext>
                </c:extLst>
              </c15:ser>
            </c15:filteredBarSeries>
            <c15:filteredBarSeries>
              <c15:ser>
                <c:idx val="8"/>
                <c:order val="8"/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E-A57F-4830-8E05-3A9D6EF2AE68}"/>
                  </c:ext>
                </c:extLst>
              </c15:ser>
            </c15:filteredBarSeries>
          </c:ext>
        </c:extLst>
      </c:barChart>
      <c:catAx>
        <c:axId val="1112098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112100767"/>
        <c:crosses val="autoZero"/>
        <c:auto val="1"/>
        <c:lblAlgn val="ctr"/>
        <c:lblOffset val="100"/>
        <c:noMultiLvlLbl val="0"/>
      </c:catAx>
      <c:valAx>
        <c:axId val="1112100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09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200">
                <a:latin typeface="Century Gothic" panose="020B0502020202020204" pitchFamily="34" charset="0"/>
              </a:rPr>
              <a:t>Month 4 by</a:t>
            </a:r>
            <a:r>
              <a:rPr lang="en-US" sz="2200" baseline="0">
                <a:latin typeface="Century Gothic" panose="020B0502020202020204" pitchFamily="34" charset="0"/>
              </a:rPr>
              <a:t> Status</a:t>
            </a:r>
            <a:endParaRPr lang="en-US" sz="2200">
              <a:latin typeface="Century Gothic" panose="020B0502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12098847"/>
        <c:axId val="111210076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7-0EA9-4A86-8E63-5546C7EE34F9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8-0EA9-4A86-8E63-5546C7EE34F9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9-0EA9-4A86-8E63-5546C7EE34F9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A-0EA9-4A86-8E63-5546C7EE34F9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B-0EA9-4A86-8E63-5546C7EE34F9}"/>
                  </c:ext>
                </c:extLst>
              </c15:ser>
            </c15:filteredBarSeries>
            <c15:filteredBarSeries>
              <c15:ser>
                <c:idx val="5"/>
                <c:order val="5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C-0EA9-4A86-8E63-5546C7EE34F9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D-0EA9-4A86-8E63-5546C7EE34F9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0"/>
                  <c:invertIfNegative val="0"/>
                  <c:bubble3D val="0"/>
                  <c:spPr>
                    <a:solidFill>
                      <a:schemeClr val="accent6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1-0EA9-4A86-8E63-5546C7EE34F9}"/>
                    </c:ext>
                  </c:extLst>
                </c:dPt>
                <c:dPt>
                  <c:idx val="1"/>
                  <c:invertIfNegative val="0"/>
                  <c:bubble3D val="0"/>
                  <c:spPr>
                    <a:solidFill>
                      <a:schemeClr val="accent5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3-0EA9-4A86-8E63-5546C7EE34F9}"/>
                    </c:ext>
                  </c:extLst>
                </c:dPt>
                <c:dPt>
                  <c:idx val="2"/>
                  <c:invertIfNegative val="0"/>
                  <c:bubble3D val="0"/>
                  <c:spPr>
                    <a:solidFill>
                      <a:schemeClr val="accent2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5-0EA9-4A86-8E63-5546C7EE34F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6-0EA9-4A86-8E63-5546C7EE34F9}"/>
                  </c:ext>
                </c:extLst>
              </c15:ser>
            </c15:filteredBarSeries>
            <c15:filteredBarSeries>
              <c15:ser>
                <c:idx val="8"/>
                <c:order val="8"/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E-0EA9-4A86-8E63-5546C7EE34F9}"/>
                  </c:ext>
                </c:extLst>
              </c15:ser>
            </c15:filteredBarSeries>
          </c:ext>
        </c:extLst>
      </c:barChart>
      <c:catAx>
        <c:axId val="1112098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112100767"/>
        <c:crosses val="autoZero"/>
        <c:auto val="1"/>
        <c:lblAlgn val="ctr"/>
        <c:lblOffset val="100"/>
        <c:noMultiLvlLbl val="0"/>
      </c:catAx>
      <c:valAx>
        <c:axId val="1112100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09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200">
                <a:latin typeface="Century Gothic" panose="020B0502020202020204" pitchFamily="34" charset="0"/>
              </a:rPr>
              <a:t>Month 5 by</a:t>
            </a:r>
            <a:r>
              <a:rPr lang="en-US" sz="2200" baseline="0">
                <a:latin typeface="Century Gothic" panose="020B0502020202020204" pitchFamily="34" charset="0"/>
              </a:rPr>
              <a:t> Status</a:t>
            </a:r>
            <a:endParaRPr lang="en-US" sz="2200">
              <a:latin typeface="Century Gothic" panose="020B0502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12098847"/>
        <c:axId val="111210076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7-32F4-4E08-9D0B-6ECAE4976937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8-32F4-4E08-9D0B-6ECAE4976937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9-32F4-4E08-9D0B-6ECAE4976937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A-32F4-4E08-9D0B-6ECAE4976937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B-32F4-4E08-9D0B-6ECAE4976937}"/>
                  </c:ext>
                </c:extLst>
              </c15:ser>
            </c15:filteredBarSeries>
            <c15:filteredBarSeries>
              <c15:ser>
                <c:idx val="5"/>
                <c:order val="5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C-32F4-4E08-9D0B-6ECAE4976937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D-32F4-4E08-9D0B-6ECAE4976937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0"/>
                  <c:invertIfNegative val="0"/>
                  <c:bubble3D val="0"/>
                  <c:spPr>
                    <a:solidFill>
                      <a:schemeClr val="accent6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1-32F4-4E08-9D0B-6ECAE4976937}"/>
                    </c:ext>
                  </c:extLst>
                </c:dPt>
                <c:dPt>
                  <c:idx val="1"/>
                  <c:invertIfNegative val="0"/>
                  <c:bubble3D val="0"/>
                  <c:spPr>
                    <a:solidFill>
                      <a:schemeClr val="accent5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3-32F4-4E08-9D0B-6ECAE4976937}"/>
                    </c:ext>
                  </c:extLst>
                </c:dPt>
                <c:dPt>
                  <c:idx val="2"/>
                  <c:invertIfNegative val="0"/>
                  <c:bubble3D val="0"/>
                  <c:spPr>
                    <a:solidFill>
                      <a:schemeClr val="accent2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5-32F4-4E08-9D0B-6ECAE4976937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6-32F4-4E08-9D0B-6ECAE4976937}"/>
                  </c:ext>
                </c:extLst>
              </c15:ser>
            </c15:filteredBarSeries>
            <c15:filteredBarSeries>
              <c15:ser>
                <c:idx val="8"/>
                <c:order val="8"/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E-32F4-4E08-9D0B-6ECAE4976937}"/>
                  </c:ext>
                </c:extLst>
              </c15:ser>
            </c15:filteredBarSeries>
          </c:ext>
        </c:extLst>
      </c:barChart>
      <c:catAx>
        <c:axId val="1112098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112100767"/>
        <c:crosses val="autoZero"/>
        <c:auto val="1"/>
        <c:lblAlgn val="ctr"/>
        <c:lblOffset val="100"/>
        <c:noMultiLvlLbl val="0"/>
      </c:catAx>
      <c:valAx>
        <c:axId val="1112100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09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2200">
                <a:latin typeface="Century Gothic" panose="020B0502020202020204" pitchFamily="34" charset="0"/>
              </a:rPr>
              <a:t>Month 6 by</a:t>
            </a:r>
            <a:r>
              <a:rPr lang="en-US" sz="2200" baseline="0">
                <a:latin typeface="Century Gothic" panose="020B0502020202020204" pitchFamily="34" charset="0"/>
              </a:rPr>
              <a:t> Status</a:t>
            </a:r>
            <a:endParaRPr lang="en-US" sz="2200">
              <a:latin typeface="Century Gothic" panose="020B0502020202020204" pitchFamily="34" charset="0"/>
            </a:endParaRP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12098847"/>
        <c:axId val="111210076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val>
                  <c:numLit>
                    <c:ptCount val="0"/>
                  </c:numLit>
                </c:val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7-604D-4824-88CB-DBCBEAD22403}"/>
                  </c:ext>
                </c:extLst>
              </c15:ser>
            </c15:filteredBarSeries>
            <c15:filteredBarSeries>
              <c15:ser>
                <c:idx val="1"/>
                <c:order val="1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8-604D-4824-88CB-DBCBEAD22403}"/>
                  </c:ext>
                </c:extLst>
              </c15:ser>
            </c15:filteredBarSeries>
            <c15:filteredBarSeries>
              <c15:ser>
                <c:idx val="2"/>
                <c:order val="2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9-604D-4824-88CB-DBCBEAD22403}"/>
                  </c:ext>
                </c:extLst>
              </c15:ser>
            </c15:filteredBarSeries>
            <c15:filteredBarSeries>
              <c15:ser>
                <c:idx val="3"/>
                <c:order val="3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A-604D-4824-88CB-DBCBEAD22403}"/>
                  </c:ext>
                </c:extLst>
              </c15:ser>
            </c15:filteredBarSeries>
            <c15:filteredBarSeries>
              <c15:ser>
                <c:idx val="4"/>
                <c:order val="4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B-604D-4824-88CB-DBCBEAD22403}"/>
                  </c:ext>
                </c:extLst>
              </c15:ser>
            </c15:filteredBarSeries>
            <c15:filteredBarSeries>
              <c15:ser>
                <c:idx val="5"/>
                <c:order val="5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C-604D-4824-88CB-DBCBEAD22403}"/>
                  </c:ext>
                </c:extLst>
              </c15:ser>
            </c15:filteredBarSeries>
            <c15:filteredBarSeries>
              <c15:ser>
                <c:idx val="6"/>
                <c:order val="6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D-604D-4824-88CB-DBCBEAD22403}"/>
                  </c:ext>
                </c:extLst>
              </c15:ser>
            </c15:filteredBarSeries>
            <c15:filteredBarSeries>
              <c15:ser>
                <c:idx val="7"/>
                <c:order val="7"/>
                <c:invertIfNegative val="0"/>
                <c:dPt>
                  <c:idx val="0"/>
                  <c:invertIfNegative val="0"/>
                  <c:bubble3D val="0"/>
                  <c:spPr>
                    <a:solidFill>
                      <a:schemeClr val="accent6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1-604D-4824-88CB-DBCBEAD22403}"/>
                    </c:ext>
                  </c:extLst>
                </c:dPt>
                <c:dPt>
                  <c:idx val="1"/>
                  <c:invertIfNegative val="0"/>
                  <c:bubble3D val="0"/>
                  <c:spPr>
                    <a:solidFill>
                      <a:schemeClr val="accent5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3-604D-4824-88CB-DBCBEAD22403}"/>
                    </c:ext>
                  </c:extLst>
                </c:dPt>
                <c:dPt>
                  <c:idx val="2"/>
                  <c:invertIfNegative val="0"/>
                  <c:bubble3D val="0"/>
                  <c:spPr>
                    <a:solidFill>
                      <a:schemeClr val="accent2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5-604D-4824-88CB-DBCBEAD22403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lIns="38100" tIns="19050" rIns="38100" bIns="19050">
                      <a:spAutoFit/>
                    </a:bodyPr>
                    <a:lstStyle/>
                    <a:p>
                      <a:pPr>
                        <a:defRPr b="1">
                          <a:latin typeface="Century Gothic" panose="020B0502020202020204" pitchFamily="34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6-604D-4824-88CB-DBCBEAD22403}"/>
                  </c:ext>
                </c:extLst>
              </c15:ser>
            </c15:filteredBarSeries>
            <c15:filteredBarSeries>
              <c15:ser>
                <c:idx val="8"/>
                <c:order val="8"/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E-604D-4824-88CB-DBCBEAD22403}"/>
                  </c:ext>
                </c:extLst>
              </c15:ser>
            </c15:filteredBarSeries>
          </c:ext>
        </c:extLst>
      </c:barChart>
      <c:catAx>
        <c:axId val="1112098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Century Gothic" panose="020B0502020202020204" pitchFamily="34" charset="0"/>
              </a:defRPr>
            </a:pPr>
            <a:endParaRPr lang="en-US"/>
          </a:p>
        </c:txPr>
        <c:crossAx val="1112100767"/>
        <c:crosses val="autoZero"/>
        <c:auto val="1"/>
        <c:lblAlgn val="ctr"/>
        <c:lblOffset val="100"/>
        <c:noMultiLvlLbl val="0"/>
      </c:catAx>
      <c:valAx>
        <c:axId val="111210076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112098847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>
              <a:latin typeface="Century Gothic" panose="020B0502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200">
                <a:latin typeface="Century Gothic" panose="020B0502020202020204" pitchFamily="34" charset="0"/>
              </a:rPr>
              <a:t>Month 7 by</a:t>
            </a:r>
            <a:r>
              <a:rPr lang="en-US" sz="2200" baseline="0">
                <a:latin typeface="Century Gothic" panose="020B0502020202020204" pitchFamily="34" charset="0"/>
              </a:rPr>
              <a:t> Status</a:t>
            </a:r>
            <a:endParaRPr lang="en-US" sz="2200">
              <a:latin typeface="Century Gothic" panose="020B0502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12098847"/>
        <c:axId val="111210076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7-FA5B-4D9B-8BE6-BD09F8E57493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8-FA5B-4D9B-8BE6-BD09F8E57493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9-FA5B-4D9B-8BE6-BD09F8E57493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A-FA5B-4D9B-8BE6-BD09F8E57493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B-FA5B-4D9B-8BE6-BD09F8E57493}"/>
                  </c:ext>
                </c:extLst>
              </c15:ser>
            </c15:filteredBarSeries>
            <c15:filteredBarSeries>
              <c15:ser>
                <c:idx val="5"/>
                <c:order val="5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C-FA5B-4D9B-8BE6-BD09F8E57493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D-FA5B-4D9B-8BE6-BD09F8E57493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0"/>
                  <c:invertIfNegative val="0"/>
                  <c:bubble3D val="0"/>
                  <c:spPr>
                    <a:solidFill>
                      <a:schemeClr val="accent6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1-FA5B-4D9B-8BE6-BD09F8E57493}"/>
                    </c:ext>
                  </c:extLst>
                </c:dPt>
                <c:dPt>
                  <c:idx val="1"/>
                  <c:invertIfNegative val="0"/>
                  <c:bubble3D val="0"/>
                  <c:spPr>
                    <a:solidFill>
                      <a:schemeClr val="accent5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3-FA5B-4D9B-8BE6-BD09F8E57493}"/>
                    </c:ext>
                  </c:extLst>
                </c:dPt>
                <c:dPt>
                  <c:idx val="2"/>
                  <c:invertIfNegative val="0"/>
                  <c:bubble3D val="0"/>
                  <c:spPr>
                    <a:solidFill>
                      <a:schemeClr val="accent2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5-FA5B-4D9B-8BE6-BD09F8E57493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6-FA5B-4D9B-8BE6-BD09F8E57493}"/>
                  </c:ext>
                </c:extLst>
              </c15:ser>
            </c15:filteredBarSeries>
            <c15:filteredBarSeries>
              <c15:ser>
                <c:idx val="8"/>
                <c:order val="8"/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E-FA5B-4D9B-8BE6-BD09F8E57493}"/>
                  </c:ext>
                </c:extLst>
              </c15:ser>
            </c15:filteredBarSeries>
          </c:ext>
        </c:extLst>
      </c:barChart>
      <c:catAx>
        <c:axId val="1112098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112100767"/>
        <c:crosses val="autoZero"/>
        <c:auto val="1"/>
        <c:lblAlgn val="ctr"/>
        <c:lblOffset val="100"/>
        <c:noMultiLvlLbl val="0"/>
      </c:catAx>
      <c:valAx>
        <c:axId val="1112100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09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200">
                <a:latin typeface="Century Gothic" panose="020B0502020202020204" pitchFamily="34" charset="0"/>
              </a:rPr>
              <a:t>Month 8 by</a:t>
            </a:r>
            <a:r>
              <a:rPr lang="en-US" sz="2200" baseline="0">
                <a:latin typeface="Century Gothic" panose="020B0502020202020204" pitchFamily="34" charset="0"/>
              </a:rPr>
              <a:t> Status</a:t>
            </a:r>
            <a:endParaRPr lang="en-US" sz="2200">
              <a:latin typeface="Century Gothic" panose="020B0502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12098847"/>
        <c:axId val="111210076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7-A384-417F-B947-28613CADD128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8-A384-417F-B947-28613CADD128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9-A384-417F-B947-28613CADD128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A-A384-417F-B947-28613CADD128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B-A384-417F-B947-28613CADD128}"/>
                  </c:ext>
                </c:extLst>
              </c15:ser>
            </c15:filteredBarSeries>
            <c15:filteredBarSeries>
              <c15:ser>
                <c:idx val="5"/>
                <c:order val="5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C-A384-417F-B947-28613CADD128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D-A384-417F-B947-28613CADD128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0"/>
                  <c:invertIfNegative val="0"/>
                  <c:bubble3D val="0"/>
                  <c:spPr>
                    <a:solidFill>
                      <a:schemeClr val="accent6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1-A384-417F-B947-28613CADD128}"/>
                    </c:ext>
                  </c:extLst>
                </c:dPt>
                <c:dPt>
                  <c:idx val="1"/>
                  <c:invertIfNegative val="0"/>
                  <c:bubble3D val="0"/>
                  <c:spPr>
                    <a:solidFill>
                      <a:schemeClr val="accent5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3-A384-417F-B947-28613CADD128}"/>
                    </c:ext>
                  </c:extLst>
                </c:dPt>
                <c:dPt>
                  <c:idx val="2"/>
                  <c:invertIfNegative val="0"/>
                  <c:bubble3D val="0"/>
                  <c:spPr>
                    <a:solidFill>
                      <a:schemeClr val="accent2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5-A384-417F-B947-28613CADD128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6-A384-417F-B947-28613CADD128}"/>
                  </c:ext>
                </c:extLst>
              </c15:ser>
            </c15:filteredBarSeries>
            <c15:filteredBarSeries>
              <c15:ser>
                <c:idx val="8"/>
                <c:order val="8"/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E-A384-417F-B947-28613CADD128}"/>
                  </c:ext>
                </c:extLst>
              </c15:ser>
            </c15:filteredBarSeries>
          </c:ext>
        </c:extLst>
      </c:barChart>
      <c:catAx>
        <c:axId val="1112098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112100767"/>
        <c:crosses val="autoZero"/>
        <c:auto val="1"/>
        <c:lblAlgn val="ctr"/>
        <c:lblOffset val="100"/>
        <c:noMultiLvlLbl val="0"/>
      </c:catAx>
      <c:valAx>
        <c:axId val="1112100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09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200">
                <a:latin typeface="Century Gothic" panose="020B0502020202020204" pitchFamily="34" charset="0"/>
              </a:rPr>
              <a:t>Month 9 by</a:t>
            </a:r>
            <a:r>
              <a:rPr lang="en-US" sz="2200" baseline="0">
                <a:latin typeface="Century Gothic" panose="020B0502020202020204" pitchFamily="34" charset="0"/>
              </a:rPr>
              <a:t> Status</a:t>
            </a:r>
            <a:endParaRPr lang="en-US" sz="2200">
              <a:latin typeface="Century Gothic" panose="020B0502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12098847"/>
        <c:axId val="111210076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7-F7A9-4C1A-9AEB-BC3D31298292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8-F7A9-4C1A-9AEB-BC3D31298292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9-F7A9-4C1A-9AEB-BC3D31298292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A-F7A9-4C1A-9AEB-BC3D31298292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B-F7A9-4C1A-9AEB-BC3D31298292}"/>
                  </c:ext>
                </c:extLst>
              </c15:ser>
            </c15:filteredBarSeries>
            <c15:filteredBarSeries>
              <c15:ser>
                <c:idx val="5"/>
                <c:order val="5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C-F7A9-4C1A-9AEB-BC3D31298292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D-F7A9-4C1A-9AEB-BC3D31298292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0"/>
                  <c:invertIfNegative val="0"/>
                  <c:bubble3D val="0"/>
                  <c:spPr>
                    <a:solidFill>
                      <a:schemeClr val="accent6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1-F7A9-4C1A-9AEB-BC3D31298292}"/>
                    </c:ext>
                  </c:extLst>
                </c:dPt>
                <c:dPt>
                  <c:idx val="1"/>
                  <c:invertIfNegative val="0"/>
                  <c:bubble3D val="0"/>
                  <c:spPr>
                    <a:solidFill>
                      <a:schemeClr val="accent5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3-F7A9-4C1A-9AEB-BC3D31298292}"/>
                    </c:ext>
                  </c:extLst>
                </c:dPt>
                <c:dPt>
                  <c:idx val="2"/>
                  <c:invertIfNegative val="0"/>
                  <c:bubble3D val="0"/>
                  <c:spPr>
                    <a:solidFill>
                      <a:schemeClr val="accent2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5-F7A9-4C1A-9AEB-BC3D31298292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6-F7A9-4C1A-9AEB-BC3D31298292}"/>
                  </c:ext>
                </c:extLst>
              </c15:ser>
            </c15:filteredBarSeries>
            <c15:filteredBarSeries>
              <c15:ser>
                <c:idx val="8"/>
                <c:order val="8"/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E-F7A9-4C1A-9AEB-BC3D31298292}"/>
                  </c:ext>
                </c:extLst>
              </c15:ser>
            </c15:filteredBarSeries>
          </c:ext>
        </c:extLst>
      </c:barChart>
      <c:catAx>
        <c:axId val="1112098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112100767"/>
        <c:crosses val="autoZero"/>
        <c:auto val="1"/>
        <c:lblAlgn val="ctr"/>
        <c:lblOffset val="100"/>
        <c:noMultiLvlLbl val="0"/>
      </c:catAx>
      <c:valAx>
        <c:axId val="1112100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09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200">
                <a:latin typeface="Century Gothic" panose="020B0502020202020204" pitchFamily="34" charset="0"/>
              </a:rPr>
              <a:t>Month 10 by</a:t>
            </a:r>
            <a:r>
              <a:rPr lang="en-US" sz="2200" baseline="0">
                <a:latin typeface="Century Gothic" panose="020B0502020202020204" pitchFamily="34" charset="0"/>
              </a:rPr>
              <a:t> Status</a:t>
            </a:r>
            <a:endParaRPr lang="en-US" sz="2200">
              <a:latin typeface="Century Gothic" panose="020B0502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12098847"/>
        <c:axId val="111210076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7-C4F4-43B7-A4C3-C9DFAE180017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8-C4F4-43B7-A4C3-C9DFAE180017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9-C4F4-43B7-A4C3-C9DFAE180017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A-C4F4-43B7-A4C3-C9DFAE180017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B-C4F4-43B7-A4C3-C9DFAE180017}"/>
                  </c:ext>
                </c:extLst>
              </c15:ser>
            </c15:filteredBarSeries>
            <c15:filteredBarSeries>
              <c15:ser>
                <c:idx val="5"/>
                <c:order val="5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C-C4F4-43B7-A4C3-C9DFAE180017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D-C4F4-43B7-A4C3-C9DFAE180017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0"/>
                  <c:invertIfNegative val="0"/>
                  <c:bubble3D val="0"/>
                  <c:spPr>
                    <a:solidFill>
                      <a:schemeClr val="accent6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1-C4F4-43B7-A4C3-C9DFAE180017}"/>
                    </c:ext>
                  </c:extLst>
                </c:dPt>
                <c:dPt>
                  <c:idx val="1"/>
                  <c:invertIfNegative val="0"/>
                  <c:bubble3D val="0"/>
                  <c:spPr>
                    <a:solidFill>
                      <a:schemeClr val="accent5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3-C4F4-43B7-A4C3-C9DFAE180017}"/>
                    </c:ext>
                  </c:extLst>
                </c:dPt>
                <c:dPt>
                  <c:idx val="2"/>
                  <c:invertIfNegative val="0"/>
                  <c:bubble3D val="0"/>
                  <c:spPr>
                    <a:solidFill>
                      <a:schemeClr val="accent2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5-C4F4-43B7-A4C3-C9DFAE180017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6-C4F4-43B7-A4C3-C9DFAE180017}"/>
                  </c:ext>
                </c:extLst>
              </c15:ser>
            </c15:filteredBarSeries>
            <c15:filteredBarSeries>
              <c15:ser>
                <c:idx val="8"/>
                <c:order val="8"/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E-C4F4-43B7-A4C3-C9DFAE180017}"/>
                  </c:ext>
                </c:extLst>
              </c15:ser>
            </c15:filteredBarSeries>
          </c:ext>
        </c:extLst>
      </c:barChart>
      <c:catAx>
        <c:axId val="1112098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112100767"/>
        <c:crosses val="autoZero"/>
        <c:auto val="1"/>
        <c:lblAlgn val="ctr"/>
        <c:lblOffset val="100"/>
        <c:noMultiLvlLbl val="0"/>
      </c:catAx>
      <c:valAx>
        <c:axId val="1112100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09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200">
                <a:latin typeface="Century Gothic" panose="020B0502020202020204" pitchFamily="34" charset="0"/>
              </a:rPr>
              <a:t>Month 11 by</a:t>
            </a:r>
            <a:r>
              <a:rPr lang="en-US" sz="2200" baseline="0">
                <a:latin typeface="Century Gothic" panose="020B0502020202020204" pitchFamily="34" charset="0"/>
              </a:rPr>
              <a:t> Status</a:t>
            </a:r>
            <a:endParaRPr lang="en-US" sz="2200">
              <a:latin typeface="Century Gothic" panose="020B0502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12098847"/>
        <c:axId val="111210076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7-F0A1-4395-A0CA-A6B5CC1C4726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8-F0A1-4395-A0CA-A6B5CC1C4726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9-F0A1-4395-A0CA-A6B5CC1C4726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A-F0A1-4395-A0CA-A6B5CC1C4726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B-F0A1-4395-A0CA-A6B5CC1C4726}"/>
                  </c:ext>
                </c:extLst>
              </c15:ser>
            </c15:filteredBarSeries>
            <c15:filteredBarSeries>
              <c15:ser>
                <c:idx val="5"/>
                <c:order val="5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C-F0A1-4395-A0CA-A6B5CC1C4726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D-F0A1-4395-A0CA-A6B5CC1C4726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0"/>
                  <c:invertIfNegative val="0"/>
                  <c:bubble3D val="0"/>
                  <c:spPr>
                    <a:solidFill>
                      <a:schemeClr val="accent6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1-F0A1-4395-A0CA-A6B5CC1C4726}"/>
                    </c:ext>
                  </c:extLst>
                </c:dPt>
                <c:dPt>
                  <c:idx val="1"/>
                  <c:invertIfNegative val="0"/>
                  <c:bubble3D val="0"/>
                  <c:spPr>
                    <a:solidFill>
                      <a:schemeClr val="accent5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3-F0A1-4395-A0CA-A6B5CC1C4726}"/>
                    </c:ext>
                  </c:extLst>
                </c:dPt>
                <c:dPt>
                  <c:idx val="2"/>
                  <c:invertIfNegative val="0"/>
                  <c:bubble3D val="0"/>
                  <c:spPr>
                    <a:solidFill>
                      <a:schemeClr val="accent2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5-F0A1-4395-A0CA-A6B5CC1C4726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6-F0A1-4395-A0CA-A6B5CC1C4726}"/>
                  </c:ext>
                </c:extLst>
              </c15:ser>
            </c15:filteredBarSeries>
            <c15:filteredBarSeries>
              <c15:ser>
                <c:idx val="8"/>
                <c:order val="8"/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E-F0A1-4395-A0CA-A6B5CC1C4726}"/>
                  </c:ext>
                </c:extLst>
              </c15:ser>
            </c15:filteredBarSeries>
          </c:ext>
        </c:extLst>
      </c:barChart>
      <c:catAx>
        <c:axId val="1112098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112100767"/>
        <c:crosses val="autoZero"/>
        <c:auto val="1"/>
        <c:lblAlgn val="ctr"/>
        <c:lblOffset val="100"/>
        <c:noMultiLvlLbl val="0"/>
      </c:catAx>
      <c:valAx>
        <c:axId val="1112100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09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200">
                <a:latin typeface="Century Gothic" panose="020B0502020202020204" pitchFamily="34" charset="0"/>
              </a:rPr>
              <a:t>Month 12 by</a:t>
            </a:r>
            <a:r>
              <a:rPr lang="en-US" sz="2200" baseline="0">
                <a:latin typeface="Century Gothic" panose="020B0502020202020204" pitchFamily="34" charset="0"/>
              </a:rPr>
              <a:t> Status</a:t>
            </a:r>
            <a:endParaRPr lang="en-US" sz="2200">
              <a:latin typeface="Century Gothic" panose="020B0502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12098847"/>
        <c:axId val="111210076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7-D03E-47F0-B1DF-3579D5081D8D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8-D03E-47F0-B1DF-3579D5081D8D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9-D03E-47F0-B1DF-3579D5081D8D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A-D03E-47F0-B1DF-3579D5081D8D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B-D03E-47F0-B1DF-3579D5081D8D}"/>
                  </c:ext>
                </c:extLst>
              </c15:ser>
            </c15:filteredBarSeries>
            <c15:filteredBarSeries>
              <c15:ser>
                <c:idx val="5"/>
                <c:order val="5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C-D03E-47F0-B1DF-3579D5081D8D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D-D03E-47F0-B1DF-3579D5081D8D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0"/>
                  <c:invertIfNegative val="0"/>
                  <c:bubble3D val="0"/>
                  <c:spPr>
                    <a:solidFill>
                      <a:schemeClr val="accent6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1-D03E-47F0-B1DF-3579D5081D8D}"/>
                    </c:ext>
                  </c:extLst>
                </c:dPt>
                <c:dPt>
                  <c:idx val="1"/>
                  <c:invertIfNegative val="0"/>
                  <c:bubble3D val="0"/>
                  <c:spPr>
                    <a:solidFill>
                      <a:schemeClr val="accent5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3-D03E-47F0-B1DF-3579D5081D8D}"/>
                    </c:ext>
                  </c:extLst>
                </c:dPt>
                <c:dPt>
                  <c:idx val="2"/>
                  <c:invertIfNegative val="0"/>
                  <c:bubble3D val="0"/>
                  <c:spPr>
                    <a:solidFill>
                      <a:schemeClr val="accent2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5-D03E-47F0-B1DF-3579D5081D8D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6-D03E-47F0-B1DF-3579D5081D8D}"/>
                  </c:ext>
                </c:extLst>
              </c15:ser>
            </c15:filteredBarSeries>
            <c15:filteredBarSeries>
              <c15:ser>
                <c:idx val="8"/>
                <c:order val="8"/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E-D03E-47F0-B1DF-3579D5081D8D}"/>
                  </c:ext>
                </c:extLst>
              </c15:ser>
            </c15:filteredBarSeries>
          </c:ext>
        </c:extLst>
      </c:barChart>
      <c:catAx>
        <c:axId val="1112098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112100767"/>
        <c:crosses val="autoZero"/>
        <c:auto val="1"/>
        <c:lblAlgn val="ctr"/>
        <c:lblOffset val="100"/>
        <c:noMultiLvlLbl val="0"/>
      </c:catAx>
      <c:valAx>
        <c:axId val="1112100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09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3"/>
          <c:order val="3"/>
          <c:tx>
            <c:strRef>
              <c:f>Dashboard!$F$4</c:f>
              <c:strCache>
                <c:ptCount val="1"/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9FB-4E49-80FE-01C0B29E171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9FB-4E49-80FE-01C0B29E171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9FB-4E49-80FE-01C0B29E171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Dashboard!$B$5:$B$7</c:f>
              <c:strCache>
                <c:ptCount val="3"/>
                <c:pt idx="0">
                  <c:v>Total Hadir</c:v>
                </c:pt>
                <c:pt idx="1">
                  <c:v>Total Terlambat</c:v>
                </c:pt>
                <c:pt idx="2">
                  <c:v>Total Tidak Hadir</c:v>
                </c:pt>
              </c:strCache>
            </c:strRef>
          </c:cat>
          <c:val>
            <c:numRef>
              <c:f>Dashboard!$F$5:$F$7</c:f>
              <c:numCache>
                <c:formatCode>General</c:formatCode>
                <c:ptCount val="3"/>
                <c:pt idx="0">
                  <c:v>5188</c:v>
                </c:pt>
                <c:pt idx="1">
                  <c:v>1152</c:v>
                </c:pt>
                <c:pt idx="2">
                  <c:v>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FB-4E49-80FE-01C0B29E1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0080112"/>
        <c:axId val="161007819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Dashboard!$C$4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Dashboard!$B$5:$B$7</c15:sqref>
                        </c15:formulaRef>
                      </c:ext>
                    </c:extLst>
                    <c:strCache>
                      <c:ptCount val="3"/>
                      <c:pt idx="0">
                        <c:v>Total Hadir</c:v>
                      </c:pt>
                      <c:pt idx="1">
                        <c:v>Total Terlambat</c:v>
                      </c:pt>
                      <c:pt idx="2">
                        <c:v>Total Tidak Hadir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Dashboard!$C$5:$C$7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9FB-4E49-80FE-01C0B29E171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Dashboard!$D$4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Dashboard!$B$5:$B$7</c15:sqref>
                        </c15:formulaRef>
                      </c:ext>
                    </c:extLst>
                    <c:strCache>
                      <c:ptCount val="3"/>
                      <c:pt idx="0">
                        <c:v>Total Hadir</c:v>
                      </c:pt>
                      <c:pt idx="1">
                        <c:v>Total Terlambat</c:v>
                      </c:pt>
                      <c:pt idx="2">
                        <c:v>Total Tidak Hadir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Dashboard!$D$5:$D$7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9FB-4E49-80FE-01C0B29E171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Dashboard!$E$4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Dashboard!$B$5:$B$7</c15:sqref>
                        </c15:formulaRef>
                      </c:ext>
                    </c:extLst>
                    <c:strCache>
                      <c:ptCount val="3"/>
                      <c:pt idx="0">
                        <c:v>Total Hadir</c:v>
                      </c:pt>
                      <c:pt idx="1">
                        <c:v>Total Terlambat</c:v>
                      </c:pt>
                      <c:pt idx="2">
                        <c:v>Total Tidak Hadir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Dashboard!$E$5:$E$7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9FB-4E49-80FE-01C0B29E171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Dashboard!$G$4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Dashboard!$B$5:$B$7</c15:sqref>
                        </c15:formulaRef>
                      </c:ext>
                    </c:extLst>
                    <c:strCache>
                      <c:ptCount val="3"/>
                      <c:pt idx="0">
                        <c:v>Total Hadir</c:v>
                      </c:pt>
                      <c:pt idx="1">
                        <c:v>Total Terlambat</c:v>
                      </c:pt>
                      <c:pt idx="2">
                        <c:v>Total Tidak Hadir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Dashboard!$G$5:$G$7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9FB-4E49-80FE-01C0B29E171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Dashboard!$H$4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Dashboard!$B$5:$B$7</c15:sqref>
                        </c15:formulaRef>
                      </c:ext>
                    </c:extLst>
                    <c:strCache>
                      <c:ptCount val="3"/>
                      <c:pt idx="0">
                        <c:v>Total Hadir</c:v>
                      </c:pt>
                      <c:pt idx="1">
                        <c:v>Total Terlambat</c:v>
                      </c:pt>
                      <c:pt idx="2">
                        <c:v>Total Tidak Hadir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Dashboard!$H$5:$H$7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9FB-4E49-80FE-01C0B29E1716}"/>
                  </c:ext>
                </c:extLst>
              </c15:ser>
            </c15:filteredBarSeries>
          </c:ext>
        </c:extLst>
      </c:barChart>
      <c:valAx>
        <c:axId val="161007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610080112"/>
        <c:crosses val="autoZero"/>
        <c:crossBetween val="between"/>
      </c:valAx>
      <c:catAx>
        <c:axId val="16100801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6100781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9F6C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latin typeface="Century Gothic" panose="020B0502020202020204" pitchFamily="34" charset="0"/>
              </a:rPr>
              <a:t>Month 3</a:t>
            </a:r>
            <a:r>
              <a:rPr lang="en-US" sz="2000" baseline="0">
                <a:latin typeface="Century Gothic" panose="020B0502020202020204" pitchFamily="34" charset="0"/>
              </a:rPr>
              <a:t> by Status </a:t>
            </a:r>
            <a:endParaRPr lang="en-US" sz="2000">
              <a:latin typeface="Century Gothic" panose="020B0502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05210688"/>
        <c:axId val="16052150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Lit>
                    <c:ptCount val="0"/>
                  </c:numLit>
                </c:val>
                <c:extLs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7-5FB6-443E-A7E9-42706020DCE4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8-5FB6-443E-A7E9-42706020DCE4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9-5FB6-443E-A7E9-42706020DCE4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A-5FB6-443E-A7E9-42706020DCE4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B-5FB6-443E-A7E9-42706020DCE4}"/>
                  </c:ext>
                </c:extLst>
              </c15:ser>
            </c15:filteredBarSeries>
            <c15:filteredBarSeries>
              <c15:ser>
                <c:idx val="5"/>
                <c:order val="5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C-5FB6-443E-A7E9-42706020DCE4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D-5FB6-443E-A7E9-42706020DCE4}"/>
                  </c:ext>
                </c:extLst>
              </c15:ser>
            </c15:filteredBarSeries>
            <c15:filteredBarSeries>
              <c15:ser>
                <c:idx val="7"/>
                <c:order val="7"/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Pt>
                  <c:idx val="0"/>
                  <c:invertIfNegative val="0"/>
                  <c:bubble3D val="0"/>
                  <c:spPr>
                    <a:solidFill>
                      <a:schemeClr val="accent6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1-5FB6-443E-A7E9-42706020DCE4}"/>
                    </c:ext>
                  </c:extLst>
                </c:dPt>
                <c:dPt>
                  <c:idx val="1"/>
                  <c:invertIfNegative val="0"/>
                  <c:bubble3D val="0"/>
                  <c:spPr>
                    <a:solidFill>
                      <a:schemeClr val="accent5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3-5FB6-443E-A7E9-42706020DCE4}"/>
                    </c:ext>
                  </c:extLst>
                </c:dPt>
                <c:dPt>
                  <c:idx val="2"/>
                  <c:invertIfNegative val="0"/>
                  <c:bubble3D val="0"/>
                  <c:spPr>
                    <a:solidFill>
                      <a:schemeClr val="accent2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5-5FB6-443E-A7E9-42706020DCE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6-5FB6-443E-A7E9-42706020DCE4}"/>
                  </c:ext>
                </c:extLst>
              </c15:ser>
            </c15:filteredBarSeries>
            <c15:filteredBarSeries>
              <c15:ser>
                <c:idx val="8"/>
                <c:order val="8"/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Lit>
                    <c:ptCount val="0"/>
                  </c:numLit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E-5FB6-443E-A7E9-42706020DCE4}"/>
                  </c:ext>
                </c:extLst>
              </c15:ser>
            </c15:filteredBarSeries>
          </c:ext>
        </c:extLst>
      </c:barChart>
      <c:catAx>
        <c:axId val="1605210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605215008"/>
        <c:crosses val="autoZero"/>
        <c:auto val="1"/>
        <c:lblAlgn val="ctr"/>
        <c:lblOffset val="100"/>
        <c:noMultiLvlLbl val="0"/>
      </c:catAx>
      <c:valAx>
        <c:axId val="160521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21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 sz="2200" b="0"/>
              <a:t>Februari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7"/>
          <c:order val="7"/>
          <c:tx>
            <c:strRef>
              <c:f>Februari!$T$46</c:f>
              <c:strCache>
                <c:ptCount val="1"/>
              </c:strCache>
            </c:strRef>
          </c:tx>
          <c:spPr>
            <a:solidFill>
              <a:srgbClr val="F9CBAD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9F6C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7FE-4872-B278-775F31ED81E1}"/>
              </c:ext>
            </c:extLst>
          </c:dPt>
          <c:dPt>
            <c:idx val="1"/>
            <c:invertIfNegative val="0"/>
            <c:bubble3D val="0"/>
            <c:spPr>
              <a:solidFill>
                <a:srgbClr val="EAF6F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7FE-4872-B278-775F31ED81E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Februari!$L$47:$L$53</c15:sqref>
                  </c15:fullRef>
                </c:ext>
              </c:extLst>
              <c:f>Februari!$L$50:$L$52</c:f>
              <c:strCache>
                <c:ptCount val="3"/>
                <c:pt idx="0">
                  <c:v>Total kehadiran bulan ini:</c:v>
                </c:pt>
                <c:pt idx="1">
                  <c:v>Total terlambat bulan ini:</c:v>
                </c:pt>
                <c:pt idx="2">
                  <c:v>Total tidak hadir bulan ini: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Februari!$T$47:$T$53</c15:sqref>
                  </c15:fullRef>
                </c:ext>
              </c:extLst>
              <c:f>Februari!$T$50:$T$52</c:f>
              <c:numCache>
                <c:formatCode>General</c:formatCode>
                <c:ptCount val="3"/>
                <c:pt idx="0">
                  <c:v>404</c:v>
                </c:pt>
                <c:pt idx="1">
                  <c:v>96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FE-4872-B278-775F31ED81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43425039"/>
        <c:axId val="144343655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Februari!$M$46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Februari!$L$47:$L$53</c15:sqref>
                        </c15:fullRef>
                        <c15:formulaRef>
                          <c15:sqref>Februari!$L$50:$L$52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Februari!$M$47:$M$53</c15:sqref>
                        </c15:fullRef>
                        <c15:formulaRef>
                          <c15:sqref>Februari!$M$50:$M$52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7FE-4872-B278-775F31ED81E1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Februari!$N$46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Februari!$L$47:$L$53</c15:sqref>
                        </c15:fullRef>
                        <c15:formulaRef>
                          <c15:sqref>Februari!$L$50:$L$52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Februari!$N$47:$N$53</c15:sqref>
                        </c15:fullRef>
                        <c15:formulaRef>
                          <c15:sqref>Februari!$N$50:$N$52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7FE-4872-B278-775F31ED81E1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Februari!$O$46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Februari!$L$47:$L$53</c15:sqref>
                        </c15:fullRef>
                        <c15:formulaRef>
                          <c15:sqref>Februari!$L$50:$L$52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Februari!$O$47:$O$53</c15:sqref>
                        </c15:fullRef>
                        <c15:formulaRef>
                          <c15:sqref>Februari!$O$50:$O$52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7FE-4872-B278-775F31ED81E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Februari!$P$46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Februari!$L$47:$L$53</c15:sqref>
                        </c15:fullRef>
                        <c15:formulaRef>
                          <c15:sqref>Februari!$L$50:$L$52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Februari!$P$47:$P$53</c15:sqref>
                        </c15:fullRef>
                        <c15:formulaRef>
                          <c15:sqref>Februari!$P$50:$P$52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7FE-4872-B278-775F31ED81E1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Februari!$Q$46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Februari!$L$47:$L$53</c15:sqref>
                        </c15:fullRef>
                        <c15:formulaRef>
                          <c15:sqref>Februari!$L$50:$L$52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Februari!$Q$47:$Q$53</c15:sqref>
                        </c15:fullRef>
                        <c15:formulaRef>
                          <c15:sqref>Februari!$Q$50:$Q$52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7FE-4872-B278-775F31ED81E1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Februari!$R$46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Februari!$L$47:$L$53</c15:sqref>
                        </c15:fullRef>
                        <c15:formulaRef>
                          <c15:sqref>Februari!$L$50:$L$52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Februari!$R$47:$R$53</c15:sqref>
                        </c15:fullRef>
                        <c15:formulaRef>
                          <c15:sqref>Februari!$R$50:$R$52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7FE-4872-B278-775F31ED81E1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Februari!$S$46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Februari!$L$47:$L$53</c15:sqref>
                        </c15:fullRef>
                        <c15:formulaRef>
                          <c15:sqref>Februari!$L$50:$L$52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Februari!$S$47:$S$53</c15:sqref>
                        </c15:fullRef>
                        <c15:formulaRef>
                          <c15:sqref>Februari!$S$50:$S$52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7FE-4872-B278-775F31ED81E1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Februari!$U$46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Februari!$L$47:$L$53</c15:sqref>
                        </c15:fullRef>
                        <c15:formulaRef>
                          <c15:sqref>Februari!$L$50:$L$52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Februari!$U$47:$U$53</c15:sqref>
                        </c15:fullRef>
                        <c15:formulaRef>
                          <c15:sqref>Februari!$U$50:$U$52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7FE-4872-B278-775F31ED81E1}"/>
                  </c:ext>
                </c:extLst>
              </c15:ser>
            </c15:filteredBarSeries>
          </c:ext>
        </c:extLst>
      </c:barChart>
      <c:catAx>
        <c:axId val="1443425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443436559"/>
        <c:crosses val="autoZero"/>
        <c:auto val="1"/>
        <c:lblAlgn val="ctr"/>
        <c:lblOffset val="100"/>
        <c:noMultiLvlLbl val="0"/>
      </c:catAx>
      <c:valAx>
        <c:axId val="1443436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44342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 sz="2200"/>
              <a:t>Maret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7"/>
          <c:order val="7"/>
          <c:tx>
            <c:strRef>
              <c:f>Maret!$T$46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9F6C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18A-4207-A0EB-C8286B7DBFE0}"/>
              </c:ext>
            </c:extLst>
          </c:dPt>
          <c:dPt>
            <c:idx val="1"/>
            <c:invertIfNegative val="0"/>
            <c:bubble3D val="0"/>
            <c:spPr>
              <a:solidFill>
                <a:srgbClr val="EAF6F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18A-4207-A0EB-C8286B7DBFE0}"/>
              </c:ext>
            </c:extLst>
          </c:dPt>
          <c:dPt>
            <c:idx val="2"/>
            <c:invertIfNegative val="0"/>
            <c:bubble3D val="0"/>
            <c:spPr>
              <a:solidFill>
                <a:srgbClr val="F9CBA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18A-4207-A0EB-C8286B7DBF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Maret!$L$47:$L$53</c15:sqref>
                  </c15:fullRef>
                </c:ext>
              </c:extLst>
              <c:f>Maret!$L$50:$L$52</c:f>
              <c:strCache>
                <c:ptCount val="3"/>
                <c:pt idx="0">
                  <c:v>Total kehadiran bulan ini:</c:v>
                </c:pt>
                <c:pt idx="1">
                  <c:v>Total terlambat bulan ini:</c:v>
                </c:pt>
                <c:pt idx="2">
                  <c:v>Total tidak hadir bulan ini: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Maret!$T$47:$T$53</c15:sqref>
                  </c15:fullRef>
                </c:ext>
              </c:extLst>
              <c:f>Maret!$T$50:$T$52</c:f>
              <c:numCache>
                <c:formatCode>General</c:formatCode>
                <c:ptCount val="3"/>
                <c:pt idx="0">
                  <c:v>444</c:v>
                </c:pt>
                <c:pt idx="1">
                  <c:v>96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8A-4207-A0EB-C8286B7DBF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43474959"/>
        <c:axId val="144347687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Maret!$M$46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Maret!$L$47:$L$53</c15:sqref>
                        </c15:fullRef>
                        <c15:formulaRef>
                          <c15:sqref>Maret!$L$50:$L$52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Maret!$M$47:$M$53</c15:sqref>
                        </c15:fullRef>
                        <c15:formulaRef>
                          <c15:sqref>Maret!$M$50:$M$52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18A-4207-A0EB-C8286B7DBFE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Maret!$N$46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Maret!$L$47:$L$53</c15:sqref>
                        </c15:fullRef>
                        <c15:formulaRef>
                          <c15:sqref>Maret!$L$50:$L$52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Maret!$N$47:$N$53</c15:sqref>
                        </c15:fullRef>
                        <c15:formulaRef>
                          <c15:sqref>Maret!$N$50:$N$52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18A-4207-A0EB-C8286B7DBFE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Maret!$O$46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Maret!$L$47:$L$53</c15:sqref>
                        </c15:fullRef>
                        <c15:formulaRef>
                          <c15:sqref>Maret!$L$50:$L$52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Maret!$O$47:$O$53</c15:sqref>
                        </c15:fullRef>
                        <c15:formulaRef>
                          <c15:sqref>Maret!$O$50:$O$52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18A-4207-A0EB-C8286B7DBFE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Maret!$P$46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Maret!$L$47:$L$53</c15:sqref>
                        </c15:fullRef>
                        <c15:formulaRef>
                          <c15:sqref>Maret!$L$50:$L$52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Maret!$P$47:$P$53</c15:sqref>
                        </c15:fullRef>
                        <c15:formulaRef>
                          <c15:sqref>Maret!$P$50:$P$52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18A-4207-A0EB-C8286B7DBFE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Maret!$Q$46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Maret!$L$47:$L$53</c15:sqref>
                        </c15:fullRef>
                        <c15:formulaRef>
                          <c15:sqref>Maret!$L$50:$L$52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Maret!$Q$47:$Q$53</c15:sqref>
                        </c15:fullRef>
                        <c15:formulaRef>
                          <c15:sqref>Maret!$Q$50:$Q$52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18A-4207-A0EB-C8286B7DBFE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Maret!$R$46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Maret!$L$47:$L$53</c15:sqref>
                        </c15:fullRef>
                        <c15:formulaRef>
                          <c15:sqref>Maret!$L$50:$L$52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Maret!$R$47:$R$53</c15:sqref>
                        </c15:fullRef>
                        <c15:formulaRef>
                          <c15:sqref>Maret!$R$50:$R$52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18A-4207-A0EB-C8286B7DBFE0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Maret!$S$46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Maret!$L$47:$L$53</c15:sqref>
                        </c15:fullRef>
                        <c15:formulaRef>
                          <c15:sqref>Maret!$L$50:$L$52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Maret!$S$47:$S$53</c15:sqref>
                        </c15:fullRef>
                        <c15:formulaRef>
                          <c15:sqref>Maret!$S$50:$S$52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18A-4207-A0EB-C8286B7DBFE0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Maret!$U$46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Maret!$L$47:$L$53</c15:sqref>
                        </c15:fullRef>
                        <c15:formulaRef>
                          <c15:sqref>Maret!$L$50:$L$52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Maret!$U$47:$U$53</c15:sqref>
                        </c15:fullRef>
                        <c15:formulaRef>
                          <c15:sqref>Maret!$U$50:$U$52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18A-4207-A0EB-C8286B7DBFE0}"/>
                  </c:ext>
                </c:extLst>
              </c15:ser>
            </c15:filteredBarSeries>
          </c:ext>
        </c:extLst>
      </c:barChart>
      <c:catAx>
        <c:axId val="1443474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443476879"/>
        <c:crosses val="autoZero"/>
        <c:auto val="1"/>
        <c:lblAlgn val="ctr"/>
        <c:lblOffset val="100"/>
        <c:noMultiLvlLbl val="0"/>
      </c:catAx>
      <c:valAx>
        <c:axId val="1443476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44347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 sz="2200"/>
              <a:t>April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7"/>
          <c:order val="7"/>
          <c:tx>
            <c:strRef>
              <c:f>April!$T$46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9F6C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B6F-4AB6-99DC-803D9AFC7E65}"/>
              </c:ext>
            </c:extLst>
          </c:dPt>
          <c:dPt>
            <c:idx val="1"/>
            <c:invertIfNegative val="0"/>
            <c:bubble3D val="0"/>
            <c:spPr>
              <a:solidFill>
                <a:srgbClr val="EAF6F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0B6F-4AB6-99DC-803D9AFC7E65}"/>
              </c:ext>
            </c:extLst>
          </c:dPt>
          <c:dPt>
            <c:idx val="2"/>
            <c:invertIfNegative val="0"/>
            <c:bubble3D val="0"/>
            <c:spPr>
              <a:solidFill>
                <a:srgbClr val="F9CBA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B6F-4AB6-99DC-803D9AFC7E65}"/>
              </c:ext>
            </c:extLst>
          </c:dPt>
          <c:dPt>
            <c:idx val="3"/>
            <c:invertIfNegative val="0"/>
            <c:bubble3D val="0"/>
            <c:spPr>
              <a:solidFill>
                <a:srgbClr val="EAF6F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0B6F-4AB6-99DC-803D9AFC7E65}"/>
              </c:ext>
            </c:extLst>
          </c:dPt>
          <c:dPt>
            <c:idx val="4"/>
            <c:invertIfNegative val="0"/>
            <c:bubble3D val="0"/>
            <c:spPr>
              <a:solidFill>
                <a:srgbClr val="EAF6F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B6F-4AB6-99DC-803D9AFC7E65}"/>
              </c:ext>
            </c:extLst>
          </c:dPt>
          <c:dPt>
            <c:idx val="5"/>
            <c:invertIfNegative val="0"/>
            <c:bubble3D val="0"/>
            <c:spPr>
              <a:solidFill>
                <a:srgbClr val="F9CBA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0B6F-4AB6-99DC-803D9AFC7E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April!$L$47:$L$53</c15:sqref>
                  </c15:fullRef>
                </c:ext>
              </c:extLst>
              <c:f>April!$L$50:$L$52</c:f>
              <c:strCache>
                <c:ptCount val="3"/>
                <c:pt idx="0">
                  <c:v>Total kehadiran bulan ini:</c:v>
                </c:pt>
                <c:pt idx="1">
                  <c:v>Total terlambat bulan ini:</c:v>
                </c:pt>
                <c:pt idx="2">
                  <c:v>Total tidak hadir bulan ini: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April!$T$47:$T$53</c15:sqref>
                  </c15:fullRef>
                </c:ext>
              </c:extLst>
              <c:f>April!$T$50:$T$52</c:f>
              <c:numCache>
                <c:formatCode>General</c:formatCode>
                <c:ptCount val="3"/>
                <c:pt idx="0">
                  <c:v>424</c:v>
                </c:pt>
                <c:pt idx="1">
                  <c:v>96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6F-4AB6-99DC-803D9AFC7E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43482639"/>
        <c:axId val="144348791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April!$M$46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April!$L$47:$L$53</c15:sqref>
                        </c15:fullRef>
                        <c15:formulaRef>
                          <c15:sqref>April!$L$50:$L$52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April!$M$47:$M$53</c15:sqref>
                        </c15:fullRef>
                        <c15:formulaRef>
                          <c15:sqref>April!$M$50:$M$52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B6F-4AB6-99DC-803D9AFC7E6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April!$N$46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April!$L$47:$L$53</c15:sqref>
                        </c15:fullRef>
                        <c15:formulaRef>
                          <c15:sqref>April!$L$50:$L$52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April!$N$47:$N$53</c15:sqref>
                        </c15:fullRef>
                        <c15:formulaRef>
                          <c15:sqref>April!$N$50:$N$52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B6F-4AB6-99DC-803D9AFC7E6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April!$O$46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April!$L$47:$L$53</c15:sqref>
                        </c15:fullRef>
                        <c15:formulaRef>
                          <c15:sqref>April!$L$50:$L$52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April!$O$47:$O$53</c15:sqref>
                        </c15:fullRef>
                        <c15:formulaRef>
                          <c15:sqref>April!$O$50:$O$52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B6F-4AB6-99DC-803D9AFC7E65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April!$P$46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April!$L$47:$L$53</c15:sqref>
                        </c15:fullRef>
                        <c15:formulaRef>
                          <c15:sqref>April!$L$50:$L$52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April!$P$47:$P$53</c15:sqref>
                        </c15:fullRef>
                        <c15:formulaRef>
                          <c15:sqref>April!$P$50:$P$52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B6F-4AB6-99DC-803D9AFC7E65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April!$Q$46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April!$L$47:$L$53</c15:sqref>
                        </c15:fullRef>
                        <c15:formulaRef>
                          <c15:sqref>April!$L$50:$L$52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April!$Q$47:$Q$53</c15:sqref>
                        </c15:fullRef>
                        <c15:formulaRef>
                          <c15:sqref>April!$Q$50:$Q$52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B6F-4AB6-99DC-803D9AFC7E65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April!$R$46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April!$L$47:$L$53</c15:sqref>
                        </c15:fullRef>
                        <c15:formulaRef>
                          <c15:sqref>April!$L$50:$L$52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April!$R$47:$R$53</c15:sqref>
                        </c15:fullRef>
                        <c15:formulaRef>
                          <c15:sqref>April!$R$50:$R$52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B6F-4AB6-99DC-803D9AFC7E65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April!$S$46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April!$L$47:$L$53</c15:sqref>
                        </c15:fullRef>
                        <c15:formulaRef>
                          <c15:sqref>April!$L$50:$L$52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April!$S$47:$S$53</c15:sqref>
                        </c15:fullRef>
                        <c15:formulaRef>
                          <c15:sqref>April!$S$50:$S$52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B6F-4AB6-99DC-803D9AFC7E65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April!$U$46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April!$L$47:$L$53</c15:sqref>
                        </c15:fullRef>
                        <c15:formulaRef>
                          <c15:sqref>April!$L$50:$L$52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April!$U$47:$U$53</c15:sqref>
                        </c15:fullRef>
                        <c15:formulaRef>
                          <c15:sqref>April!$U$50:$U$52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B6F-4AB6-99DC-803D9AFC7E65}"/>
                  </c:ext>
                </c:extLst>
              </c15:ser>
            </c15:filteredBarSeries>
          </c:ext>
        </c:extLst>
      </c:barChart>
      <c:catAx>
        <c:axId val="1443482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443487919"/>
        <c:crosses val="autoZero"/>
        <c:auto val="1"/>
        <c:lblAlgn val="ctr"/>
        <c:lblOffset val="100"/>
        <c:noMultiLvlLbl val="0"/>
      </c:catAx>
      <c:valAx>
        <c:axId val="1443487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44348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 sz="2200"/>
              <a:t>Mei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7"/>
          <c:order val="7"/>
          <c:tx>
            <c:strRef>
              <c:f>Mei!$T$46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9F6C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4D3-45BE-91C3-59899AA5BB01}"/>
              </c:ext>
            </c:extLst>
          </c:dPt>
          <c:dPt>
            <c:idx val="1"/>
            <c:invertIfNegative val="0"/>
            <c:bubble3D val="0"/>
            <c:spPr>
              <a:solidFill>
                <a:srgbClr val="C1EFE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D4D3-45BE-91C3-59899AA5BB01}"/>
              </c:ext>
            </c:extLst>
          </c:dPt>
          <c:dPt>
            <c:idx val="2"/>
            <c:invertIfNegative val="0"/>
            <c:bubble3D val="0"/>
            <c:spPr>
              <a:solidFill>
                <a:srgbClr val="F9CBA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4D3-45BE-91C3-59899AA5BB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Mei!$L$47:$L$53</c15:sqref>
                  </c15:fullRef>
                </c:ext>
              </c:extLst>
              <c:f>Mei!$L$50:$L$52</c:f>
              <c:strCache>
                <c:ptCount val="3"/>
                <c:pt idx="0">
                  <c:v>Total kehadiran bulan ini:</c:v>
                </c:pt>
                <c:pt idx="1">
                  <c:v>Total terlambat bulan ini:</c:v>
                </c:pt>
                <c:pt idx="2">
                  <c:v>Total tidak hadir bulan ini: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Mei!$T$47:$T$53</c15:sqref>
                  </c15:fullRef>
                </c:ext>
              </c:extLst>
              <c:f>Mei!$T$50:$T$52</c:f>
              <c:numCache>
                <c:formatCode>General</c:formatCode>
                <c:ptCount val="3"/>
                <c:pt idx="0">
                  <c:v>444</c:v>
                </c:pt>
                <c:pt idx="1">
                  <c:v>96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D3-45BE-91C3-59899AA5BB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43479279"/>
        <c:axId val="144347159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Mei!$M$46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Mei!$L$47:$L$53</c15:sqref>
                        </c15:fullRef>
                        <c15:formulaRef>
                          <c15:sqref>Mei!$L$50:$L$52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Mei!$M$47:$M$53</c15:sqref>
                        </c15:fullRef>
                        <c15:formulaRef>
                          <c15:sqref>Mei!$M$50:$M$52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4D3-45BE-91C3-59899AA5BB01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Mei!$N$46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Mei!$L$47:$L$53</c15:sqref>
                        </c15:fullRef>
                        <c15:formulaRef>
                          <c15:sqref>Mei!$L$50:$L$52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Mei!$N$47:$N$53</c15:sqref>
                        </c15:fullRef>
                        <c15:formulaRef>
                          <c15:sqref>Mei!$N$50:$N$52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4D3-45BE-91C3-59899AA5BB01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Mei!$O$46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Mei!$L$47:$L$53</c15:sqref>
                        </c15:fullRef>
                        <c15:formulaRef>
                          <c15:sqref>Mei!$L$50:$L$52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Mei!$O$47:$O$53</c15:sqref>
                        </c15:fullRef>
                        <c15:formulaRef>
                          <c15:sqref>Mei!$O$50:$O$52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4D3-45BE-91C3-59899AA5BB0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Mei!$P$46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Mei!$L$47:$L$53</c15:sqref>
                        </c15:fullRef>
                        <c15:formulaRef>
                          <c15:sqref>Mei!$L$50:$L$52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Mei!$P$47:$P$53</c15:sqref>
                        </c15:fullRef>
                        <c15:formulaRef>
                          <c15:sqref>Mei!$P$50:$P$52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4D3-45BE-91C3-59899AA5BB01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Mei!$Q$46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Mei!$L$47:$L$53</c15:sqref>
                        </c15:fullRef>
                        <c15:formulaRef>
                          <c15:sqref>Mei!$L$50:$L$52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Mei!$Q$47:$Q$53</c15:sqref>
                        </c15:fullRef>
                        <c15:formulaRef>
                          <c15:sqref>Mei!$Q$50:$Q$52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4D3-45BE-91C3-59899AA5BB01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Mei!$R$46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Mei!$L$47:$L$53</c15:sqref>
                        </c15:fullRef>
                        <c15:formulaRef>
                          <c15:sqref>Mei!$L$50:$L$52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Mei!$R$47:$R$53</c15:sqref>
                        </c15:fullRef>
                        <c15:formulaRef>
                          <c15:sqref>Mei!$R$50:$R$52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4D3-45BE-91C3-59899AA5BB01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Mei!$S$46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Mei!$L$47:$L$53</c15:sqref>
                        </c15:fullRef>
                        <c15:formulaRef>
                          <c15:sqref>Mei!$L$50:$L$52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Mei!$S$47:$S$53</c15:sqref>
                        </c15:fullRef>
                        <c15:formulaRef>
                          <c15:sqref>Mei!$S$50:$S$52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4D3-45BE-91C3-59899AA5BB01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Mei!$U$46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Mei!$L$47:$L$53</c15:sqref>
                        </c15:fullRef>
                        <c15:formulaRef>
                          <c15:sqref>Mei!$L$50:$L$52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Mei!$U$47:$U$53</c15:sqref>
                        </c15:fullRef>
                        <c15:formulaRef>
                          <c15:sqref>Mei!$U$50:$U$52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4D3-45BE-91C3-59899AA5BB01}"/>
                  </c:ext>
                </c:extLst>
              </c15:ser>
            </c15:filteredBarSeries>
          </c:ext>
        </c:extLst>
      </c:barChart>
      <c:catAx>
        <c:axId val="1443479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443471599"/>
        <c:crosses val="autoZero"/>
        <c:auto val="1"/>
        <c:lblAlgn val="ctr"/>
        <c:lblOffset val="100"/>
        <c:noMultiLvlLbl val="0"/>
      </c:catAx>
      <c:valAx>
        <c:axId val="144347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443479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 sz="2200"/>
              <a:t>Juni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7"/>
          <c:order val="7"/>
          <c:tx>
            <c:strRef>
              <c:f>Juni!$T$46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9F6C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BE-47DC-A2E7-9DEBD5B4AAA4}"/>
              </c:ext>
            </c:extLst>
          </c:dPt>
          <c:dPt>
            <c:idx val="1"/>
            <c:invertIfNegative val="0"/>
            <c:bubble3D val="0"/>
            <c:spPr>
              <a:solidFill>
                <a:srgbClr val="C1EFE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9BE-47DC-A2E7-9DEBD5B4AAA4}"/>
              </c:ext>
            </c:extLst>
          </c:dPt>
          <c:dPt>
            <c:idx val="2"/>
            <c:invertIfNegative val="0"/>
            <c:bubble3D val="0"/>
            <c:spPr>
              <a:solidFill>
                <a:srgbClr val="F9CBA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BE-47DC-A2E7-9DEBD5B4AA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Juni!$L$47:$L$53</c15:sqref>
                  </c15:fullRef>
                </c:ext>
              </c:extLst>
              <c:f>Juni!$L$50:$L$52</c:f>
              <c:strCache>
                <c:ptCount val="3"/>
                <c:pt idx="0">
                  <c:v>Total kehadiran bulan ini:</c:v>
                </c:pt>
                <c:pt idx="1">
                  <c:v>Total terlambat bulan ini:</c:v>
                </c:pt>
                <c:pt idx="2">
                  <c:v>Total tidak hadir bulan ini: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Juni!$T$47:$T$53</c15:sqref>
                  </c15:fullRef>
                </c:ext>
              </c:extLst>
              <c:f>Juni!$T$50:$T$52</c:f>
              <c:numCache>
                <c:formatCode>General</c:formatCode>
                <c:ptCount val="3"/>
                <c:pt idx="0">
                  <c:v>424</c:v>
                </c:pt>
                <c:pt idx="1">
                  <c:v>96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E-47DC-A2E7-9DEBD5B4AA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71854719"/>
        <c:axId val="177186383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Juni!$M$46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Juni!$L$47:$L$53</c15:sqref>
                        </c15:fullRef>
                        <c15:formulaRef>
                          <c15:sqref>Juni!$L$50:$L$52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Juni!$M$47:$M$53</c15:sqref>
                        </c15:fullRef>
                        <c15:formulaRef>
                          <c15:sqref>Juni!$M$50:$M$52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9BE-47DC-A2E7-9DEBD5B4AAA4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Juni!$N$46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Juni!$L$47:$L$53</c15:sqref>
                        </c15:fullRef>
                        <c15:formulaRef>
                          <c15:sqref>Juni!$L$50:$L$52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Juni!$N$47:$N$53</c15:sqref>
                        </c15:fullRef>
                        <c15:formulaRef>
                          <c15:sqref>Juni!$N$50:$N$52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9BE-47DC-A2E7-9DEBD5B4AAA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Juni!$O$46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Juni!$L$47:$L$53</c15:sqref>
                        </c15:fullRef>
                        <c15:formulaRef>
                          <c15:sqref>Juni!$L$50:$L$52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Juni!$O$47:$O$53</c15:sqref>
                        </c15:fullRef>
                        <c15:formulaRef>
                          <c15:sqref>Juni!$O$50:$O$52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9BE-47DC-A2E7-9DEBD5B4AAA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Juni!$P$46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Juni!$L$47:$L$53</c15:sqref>
                        </c15:fullRef>
                        <c15:formulaRef>
                          <c15:sqref>Juni!$L$50:$L$52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Juni!$P$47:$P$53</c15:sqref>
                        </c15:fullRef>
                        <c15:formulaRef>
                          <c15:sqref>Juni!$P$50:$P$52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9BE-47DC-A2E7-9DEBD5B4AAA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Juni!$Q$46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Juni!$L$47:$L$53</c15:sqref>
                        </c15:fullRef>
                        <c15:formulaRef>
                          <c15:sqref>Juni!$L$50:$L$52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Juni!$Q$47:$Q$53</c15:sqref>
                        </c15:fullRef>
                        <c15:formulaRef>
                          <c15:sqref>Juni!$Q$50:$Q$52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9BE-47DC-A2E7-9DEBD5B4AAA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Juni!$R$46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Juni!$L$47:$L$53</c15:sqref>
                        </c15:fullRef>
                        <c15:formulaRef>
                          <c15:sqref>Juni!$L$50:$L$52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Juni!$R$47:$R$53</c15:sqref>
                        </c15:fullRef>
                        <c15:formulaRef>
                          <c15:sqref>Juni!$R$50:$R$52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9BE-47DC-A2E7-9DEBD5B4AAA4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Juni!$S$46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Juni!$L$47:$L$53</c15:sqref>
                        </c15:fullRef>
                        <c15:formulaRef>
                          <c15:sqref>Juni!$L$50:$L$52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Juni!$S$47:$S$53</c15:sqref>
                        </c15:fullRef>
                        <c15:formulaRef>
                          <c15:sqref>Juni!$S$50:$S$52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9BE-47DC-A2E7-9DEBD5B4AAA4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Juni!$U$46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Juni!$L$47:$L$53</c15:sqref>
                        </c15:fullRef>
                        <c15:formulaRef>
                          <c15:sqref>Juni!$L$50:$L$52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Juni!$U$47:$U$53</c15:sqref>
                        </c15:fullRef>
                        <c15:formulaRef>
                          <c15:sqref>Juni!$U$50:$U$52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9BE-47DC-A2E7-9DEBD5B4AAA4}"/>
                  </c:ext>
                </c:extLst>
              </c15:ser>
            </c15:filteredBarSeries>
          </c:ext>
        </c:extLst>
      </c:barChart>
      <c:catAx>
        <c:axId val="1771854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771863839"/>
        <c:crosses val="autoZero"/>
        <c:auto val="1"/>
        <c:lblAlgn val="ctr"/>
        <c:lblOffset val="100"/>
        <c:noMultiLvlLbl val="0"/>
      </c:catAx>
      <c:valAx>
        <c:axId val="177186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77185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 sz="2200"/>
              <a:t>Juli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7"/>
          <c:order val="7"/>
          <c:tx>
            <c:strRef>
              <c:f>Juli!$T$46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9F6C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A4E-4604-A9F2-6FD78EDB13D0}"/>
              </c:ext>
            </c:extLst>
          </c:dPt>
          <c:dPt>
            <c:idx val="1"/>
            <c:invertIfNegative val="0"/>
            <c:bubble3D val="0"/>
            <c:spPr>
              <a:solidFill>
                <a:srgbClr val="C1EFE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4A4E-4604-A9F2-6FD78EDB13D0}"/>
              </c:ext>
            </c:extLst>
          </c:dPt>
          <c:dPt>
            <c:idx val="2"/>
            <c:invertIfNegative val="0"/>
            <c:bubble3D val="0"/>
            <c:spPr>
              <a:solidFill>
                <a:srgbClr val="F9CBA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A4E-4604-A9F2-6FD78EDB13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Juli!$L$47:$L$53</c15:sqref>
                  </c15:fullRef>
                </c:ext>
              </c:extLst>
              <c:f>Juli!$L$50:$L$52</c:f>
              <c:strCache>
                <c:ptCount val="3"/>
                <c:pt idx="0">
                  <c:v>Total kehadiran bulan ini:</c:v>
                </c:pt>
                <c:pt idx="1">
                  <c:v>Total terlambat bulan ini:</c:v>
                </c:pt>
                <c:pt idx="2">
                  <c:v>Total tidak hadir bulan ini: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Juli!$T$47:$T$53</c15:sqref>
                  </c15:fullRef>
                </c:ext>
              </c:extLst>
              <c:f>Juli!$T$50:$T$52</c:f>
              <c:numCache>
                <c:formatCode>General</c:formatCode>
                <c:ptCount val="3"/>
                <c:pt idx="0">
                  <c:v>444</c:v>
                </c:pt>
                <c:pt idx="1">
                  <c:v>96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E-4604-A9F2-6FD78EDB13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15996847"/>
        <c:axId val="151596660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Juli!$M$46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Juli!$L$47:$L$53</c15:sqref>
                        </c15:fullRef>
                        <c15:formulaRef>
                          <c15:sqref>Juli!$L$50:$L$52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Juli!$M$47:$M$53</c15:sqref>
                        </c15:fullRef>
                        <c15:formulaRef>
                          <c15:sqref>Juli!$M$50:$M$52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A4E-4604-A9F2-6FD78EDB13D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Juli!$N$46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Juli!$L$47:$L$53</c15:sqref>
                        </c15:fullRef>
                        <c15:formulaRef>
                          <c15:sqref>Juli!$L$50:$L$52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Juli!$N$47:$N$53</c15:sqref>
                        </c15:fullRef>
                        <c15:formulaRef>
                          <c15:sqref>Juli!$N$50:$N$52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A4E-4604-A9F2-6FD78EDB13D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Juli!$O$46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Juli!$L$47:$L$53</c15:sqref>
                        </c15:fullRef>
                        <c15:formulaRef>
                          <c15:sqref>Juli!$L$50:$L$52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Juli!$O$47:$O$53</c15:sqref>
                        </c15:fullRef>
                        <c15:formulaRef>
                          <c15:sqref>Juli!$O$50:$O$52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A4E-4604-A9F2-6FD78EDB13D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Juli!$P$46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Juli!$L$47:$L$53</c15:sqref>
                        </c15:fullRef>
                        <c15:formulaRef>
                          <c15:sqref>Juli!$L$50:$L$52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Juli!$P$47:$P$53</c15:sqref>
                        </c15:fullRef>
                        <c15:formulaRef>
                          <c15:sqref>Juli!$P$50:$P$52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A4E-4604-A9F2-6FD78EDB13D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Juli!$Q$46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Juli!$L$47:$L$53</c15:sqref>
                        </c15:fullRef>
                        <c15:formulaRef>
                          <c15:sqref>Juli!$L$50:$L$52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Juli!$Q$47:$Q$53</c15:sqref>
                        </c15:fullRef>
                        <c15:formulaRef>
                          <c15:sqref>Juli!$Q$50:$Q$52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A4E-4604-A9F2-6FD78EDB13D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Juli!$R$46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Juli!$L$47:$L$53</c15:sqref>
                        </c15:fullRef>
                        <c15:formulaRef>
                          <c15:sqref>Juli!$L$50:$L$52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Juli!$R$47:$R$53</c15:sqref>
                        </c15:fullRef>
                        <c15:formulaRef>
                          <c15:sqref>Juli!$R$50:$R$52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A4E-4604-A9F2-6FD78EDB13D0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Juli!$S$46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Juli!$L$47:$L$53</c15:sqref>
                        </c15:fullRef>
                        <c15:formulaRef>
                          <c15:sqref>Juli!$L$50:$L$52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Juli!$S$47:$S$53</c15:sqref>
                        </c15:fullRef>
                        <c15:formulaRef>
                          <c15:sqref>Juli!$S$50:$S$52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A4E-4604-A9F2-6FD78EDB13D0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Juli!$U$46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Juli!$L$47:$L$53</c15:sqref>
                        </c15:fullRef>
                        <c15:formulaRef>
                          <c15:sqref>Juli!$L$50:$L$52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Juli!$U$47:$U$53</c15:sqref>
                        </c15:fullRef>
                        <c15:formulaRef>
                          <c15:sqref>Juli!$U$50:$U$52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A4E-4604-A9F2-6FD78EDB13D0}"/>
                  </c:ext>
                </c:extLst>
              </c15:ser>
            </c15:filteredBarSeries>
          </c:ext>
        </c:extLst>
      </c:barChart>
      <c:catAx>
        <c:axId val="1515996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515966607"/>
        <c:crosses val="autoZero"/>
        <c:auto val="1"/>
        <c:lblAlgn val="ctr"/>
        <c:lblOffset val="100"/>
        <c:noMultiLvlLbl val="0"/>
      </c:catAx>
      <c:valAx>
        <c:axId val="151596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515996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 sz="2200"/>
              <a:t>Agustus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7"/>
          <c:order val="7"/>
          <c:tx>
            <c:strRef>
              <c:f>Agustus!$T$46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9F6C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935-4357-B3AB-D21927E06BFB}"/>
              </c:ext>
            </c:extLst>
          </c:dPt>
          <c:dPt>
            <c:idx val="1"/>
            <c:invertIfNegative val="0"/>
            <c:bubble3D val="0"/>
            <c:spPr>
              <a:solidFill>
                <a:srgbClr val="C1EFE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935-4357-B3AB-D21927E06BFB}"/>
              </c:ext>
            </c:extLst>
          </c:dPt>
          <c:dPt>
            <c:idx val="2"/>
            <c:invertIfNegative val="0"/>
            <c:bubble3D val="0"/>
            <c:spPr>
              <a:solidFill>
                <a:srgbClr val="F9CBA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935-4357-B3AB-D21927E06B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Agustus!$L$47:$L$53</c15:sqref>
                  </c15:fullRef>
                </c:ext>
              </c:extLst>
              <c:f>Agustus!$L$50:$L$52</c:f>
              <c:strCache>
                <c:ptCount val="3"/>
                <c:pt idx="0">
                  <c:v>Total kehadiran bulan ini:</c:v>
                </c:pt>
                <c:pt idx="1">
                  <c:v>Total terlambat bulan ini:</c:v>
                </c:pt>
                <c:pt idx="2">
                  <c:v>Total tidak hadir bulan ini: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Agustus!$T$47:$T$53</c15:sqref>
                  </c15:fullRef>
                </c:ext>
              </c:extLst>
              <c:f>Agustus!$T$50:$T$52</c:f>
              <c:numCache>
                <c:formatCode>General</c:formatCode>
                <c:ptCount val="3"/>
                <c:pt idx="0">
                  <c:v>424</c:v>
                </c:pt>
                <c:pt idx="1">
                  <c:v>96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35-4357-B3AB-D21927E06B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71866719"/>
        <c:axId val="177188543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Agustus!$M$46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Agustus!$L$47:$L$53</c15:sqref>
                        </c15:fullRef>
                        <c15:formulaRef>
                          <c15:sqref>Agustus!$L$50:$L$52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Agustus!$M$47:$M$53</c15:sqref>
                        </c15:fullRef>
                        <c15:formulaRef>
                          <c15:sqref>Agustus!$M$50:$M$52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935-4357-B3AB-D21927E06BF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Agustus!$N$46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Agustus!$L$47:$L$53</c15:sqref>
                        </c15:fullRef>
                        <c15:formulaRef>
                          <c15:sqref>Agustus!$L$50:$L$52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Agustus!$N$47:$N$53</c15:sqref>
                        </c15:fullRef>
                        <c15:formulaRef>
                          <c15:sqref>Agustus!$N$50:$N$52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935-4357-B3AB-D21927E06BF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Agustus!$O$46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Agustus!$L$47:$L$53</c15:sqref>
                        </c15:fullRef>
                        <c15:formulaRef>
                          <c15:sqref>Agustus!$L$50:$L$52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Agustus!$O$47:$O$53</c15:sqref>
                        </c15:fullRef>
                        <c15:formulaRef>
                          <c15:sqref>Agustus!$O$50:$O$52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935-4357-B3AB-D21927E06BF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Agustus!$P$46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Agustus!$L$47:$L$53</c15:sqref>
                        </c15:fullRef>
                        <c15:formulaRef>
                          <c15:sqref>Agustus!$L$50:$L$52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Agustus!$P$47:$P$53</c15:sqref>
                        </c15:fullRef>
                        <c15:formulaRef>
                          <c15:sqref>Agustus!$P$50:$P$52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935-4357-B3AB-D21927E06BF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Agustus!$Q$46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Agustus!$L$47:$L$53</c15:sqref>
                        </c15:fullRef>
                        <c15:formulaRef>
                          <c15:sqref>Agustus!$L$50:$L$52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Agustus!$Q$47:$Q$53</c15:sqref>
                        </c15:fullRef>
                        <c15:formulaRef>
                          <c15:sqref>Agustus!$Q$50:$Q$52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935-4357-B3AB-D21927E06BF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Agustus!$R$46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Agustus!$L$47:$L$53</c15:sqref>
                        </c15:fullRef>
                        <c15:formulaRef>
                          <c15:sqref>Agustus!$L$50:$L$52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Agustus!$R$47:$R$53</c15:sqref>
                        </c15:fullRef>
                        <c15:formulaRef>
                          <c15:sqref>Agustus!$R$50:$R$52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935-4357-B3AB-D21927E06BFB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Agustus!$S$46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Agustus!$L$47:$L$53</c15:sqref>
                        </c15:fullRef>
                        <c15:formulaRef>
                          <c15:sqref>Agustus!$L$50:$L$52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Agustus!$S$47:$S$53</c15:sqref>
                        </c15:fullRef>
                        <c15:formulaRef>
                          <c15:sqref>Agustus!$S$50:$S$52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935-4357-B3AB-D21927E06BFB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Agustus!$U$46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Agustus!$L$47:$L$53</c15:sqref>
                        </c15:fullRef>
                        <c15:formulaRef>
                          <c15:sqref>Agustus!$L$50:$L$52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Agustus!$U$47:$U$53</c15:sqref>
                        </c15:fullRef>
                        <c15:formulaRef>
                          <c15:sqref>Agustus!$U$50:$U$52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935-4357-B3AB-D21927E06BFB}"/>
                  </c:ext>
                </c:extLst>
              </c15:ser>
            </c15:filteredBarSeries>
          </c:ext>
        </c:extLst>
      </c:barChart>
      <c:catAx>
        <c:axId val="1771866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771885439"/>
        <c:crosses val="autoZero"/>
        <c:auto val="1"/>
        <c:lblAlgn val="ctr"/>
        <c:lblOffset val="100"/>
        <c:noMultiLvlLbl val="0"/>
      </c:catAx>
      <c:valAx>
        <c:axId val="177188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771866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 sz="2200"/>
              <a:t>September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7"/>
          <c:order val="7"/>
          <c:tx>
            <c:strRef>
              <c:f>September!$T$46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9F6C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4EF-4C67-B600-8C5129F5BEA1}"/>
              </c:ext>
            </c:extLst>
          </c:dPt>
          <c:dPt>
            <c:idx val="1"/>
            <c:invertIfNegative val="0"/>
            <c:bubble3D val="0"/>
            <c:spPr>
              <a:solidFill>
                <a:srgbClr val="C1EFE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E4EF-4C67-B600-8C5129F5BEA1}"/>
              </c:ext>
            </c:extLst>
          </c:dPt>
          <c:dPt>
            <c:idx val="2"/>
            <c:invertIfNegative val="0"/>
            <c:bubble3D val="0"/>
            <c:spPr>
              <a:solidFill>
                <a:srgbClr val="F9CBA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4EF-4C67-B600-8C5129F5BE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September!$L$47:$L$53</c15:sqref>
                  </c15:fullRef>
                </c:ext>
              </c:extLst>
              <c:f>September!$L$50:$L$52</c:f>
              <c:strCache>
                <c:ptCount val="3"/>
                <c:pt idx="0">
                  <c:v>Total kehadiran bulan ini:</c:v>
                </c:pt>
                <c:pt idx="1">
                  <c:v>Total terlambat bulan ini:</c:v>
                </c:pt>
                <c:pt idx="2">
                  <c:v>Total tidak hadir bulan ini: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September!$T$47:$T$53</c15:sqref>
                  </c15:fullRef>
                </c:ext>
              </c:extLst>
              <c:f>September!$T$50:$T$52</c:f>
              <c:numCache>
                <c:formatCode>General</c:formatCode>
                <c:ptCount val="3"/>
                <c:pt idx="0">
                  <c:v>444</c:v>
                </c:pt>
                <c:pt idx="1">
                  <c:v>96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F-4C67-B600-8C5129F5BE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71776479"/>
        <c:axId val="177179135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September!$M$46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September!$L$47:$L$53</c15:sqref>
                        </c15:fullRef>
                        <c15:formulaRef>
                          <c15:sqref>September!$L$50:$L$52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September!$M$47:$M$53</c15:sqref>
                        </c15:fullRef>
                        <c15:formulaRef>
                          <c15:sqref>September!$M$50:$M$52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E4EF-4C67-B600-8C5129F5BEA1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September!$N$46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September!$L$47:$L$53</c15:sqref>
                        </c15:fullRef>
                        <c15:formulaRef>
                          <c15:sqref>September!$L$50:$L$52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September!$N$47:$N$53</c15:sqref>
                        </c15:fullRef>
                        <c15:formulaRef>
                          <c15:sqref>September!$N$50:$N$52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4EF-4C67-B600-8C5129F5BEA1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September!$O$46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September!$L$47:$L$53</c15:sqref>
                        </c15:fullRef>
                        <c15:formulaRef>
                          <c15:sqref>September!$L$50:$L$52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September!$O$47:$O$53</c15:sqref>
                        </c15:fullRef>
                        <c15:formulaRef>
                          <c15:sqref>September!$O$50:$O$52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4EF-4C67-B600-8C5129F5BEA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September!$P$46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September!$L$47:$L$53</c15:sqref>
                        </c15:fullRef>
                        <c15:formulaRef>
                          <c15:sqref>September!$L$50:$L$52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September!$P$47:$P$53</c15:sqref>
                        </c15:fullRef>
                        <c15:formulaRef>
                          <c15:sqref>September!$P$50:$P$52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4EF-4C67-B600-8C5129F5BEA1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September!$Q$46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September!$L$47:$L$53</c15:sqref>
                        </c15:fullRef>
                        <c15:formulaRef>
                          <c15:sqref>September!$L$50:$L$52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September!$Q$47:$Q$53</c15:sqref>
                        </c15:fullRef>
                        <c15:formulaRef>
                          <c15:sqref>September!$Q$50:$Q$52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4EF-4C67-B600-8C5129F5BEA1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September!$R$46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September!$L$47:$L$53</c15:sqref>
                        </c15:fullRef>
                        <c15:formulaRef>
                          <c15:sqref>September!$L$50:$L$52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September!$R$47:$R$53</c15:sqref>
                        </c15:fullRef>
                        <c15:formulaRef>
                          <c15:sqref>September!$R$50:$R$52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4EF-4C67-B600-8C5129F5BEA1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September!$S$46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September!$L$47:$L$53</c15:sqref>
                        </c15:fullRef>
                        <c15:formulaRef>
                          <c15:sqref>September!$L$50:$L$52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September!$S$47:$S$53</c15:sqref>
                        </c15:fullRef>
                        <c15:formulaRef>
                          <c15:sqref>September!$S$50:$S$52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4EF-4C67-B600-8C5129F5BEA1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September!$U$46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September!$L$47:$L$53</c15:sqref>
                        </c15:fullRef>
                        <c15:formulaRef>
                          <c15:sqref>September!$L$50:$L$52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September!$U$47:$U$53</c15:sqref>
                        </c15:fullRef>
                        <c15:formulaRef>
                          <c15:sqref>September!$U$50:$U$52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4EF-4C67-B600-8C5129F5BEA1}"/>
                  </c:ext>
                </c:extLst>
              </c15:ser>
            </c15:filteredBarSeries>
          </c:ext>
        </c:extLst>
      </c:barChart>
      <c:catAx>
        <c:axId val="1771776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771791359"/>
        <c:crosses val="autoZero"/>
        <c:auto val="1"/>
        <c:lblAlgn val="ctr"/>
        <c:lblOffset val="100"/>
        <c:noMultiLvlLbl val="0"/>
      </c:catAx>
      <c:valAx>
        <c:axId val="177179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77177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 sz="2200"/>
              <a:t>Oktober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7"/>
          <c:order val="7"/>
          <c:tx>
            <c:strRef>
              <c:f>Oktober!$T$46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9F6C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7E9-412C-BC0A-9C378255B379}"/>
              </c:ext>
            </c:extLst>
          </c:dPt>
          <c:dPt>
            <c:idx val="1"/>
            <c:invertIfNegative val="0"/>
            <c:bubble3D val="0"/>
            <c:spPr>
              <a:solidFill>
                <a:srgbClr val="C1EFE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67E9-412C-BC0A-9C378255B379}"/>
              </c:ext>
            </c:extLst>
          </c:dPt>
          <c:dPt>
            <c:idx val="2"/>
            <c:invertIfNegative val="0"/>
            <c:bubble3D val="0"/>
            <c:spPr>
              <a:solidFill>
                <a:srgbClr val="F9CBA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7E9-412C-BC0A-9C378255B3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Oktober!$L$47:$L$53</c15:sqref>
                  </c15:fullRef>
                </c:ext>
              </c:extLst>
              <c:f>Oktober!$L$50:$L$52</c:f>
              <c:strCache>
                <c:ptCount val="3"/>
                <c:pt idx="0">
                  <c:v>Total kehadiran bulan ini:</c:v>
                </c:pt>
                <c:pt idx="1">
                  <c:v>Total terlambat bulan ini:</c:v>
                </c:pt>
                <c:pt idx="2">
                  <c:v>Total tidak hadir bulan ini: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Oktober!$T$47:$T$53</c15:sqref>
                  </c15:fullRef>
                </c:ext>
              </c:extLst>
              <c:f>Oktober!$T$50:$T$52</c:f>
              <c:numCache>
                <c:formatCode>General</c:formatCode>
                <c:ptCount val="3"/>
                <c:pt idx="0">
                  <c:v>424</c:v>
                </c:pt>
                <c:pt idx="1">
                  <c:v>96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E9-412C-BC0A-9C378255B3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15931567"/>
        <c:axId val="151591044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Oktober!$M$46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Oktober!$L$47:$L$53</c15:sqref>
                        </c15:fullRef>
                        <c15:formulaRef>
                          <c15:sqref>Oktober!$L$50:$L$52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Oktober!$M$47:$M$53</c15:sqref>
                        </c15:fullRef>
                        <c15:formulaRef>
                          <c15:sqref>Oktober!$M$50:$M$52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7E9-412C-BC0A-9C378255B379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Oktober!$N$46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Oktober!$L$47:$L$53</c15:sqref>
                        </c15:fullRef>
                        <c15:formulaRef>
                          <c15:sqref>Oktober!$L$50:$L$52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Oktober!$N$47:$N$53</c15:sqref>
                        </c15:fullRef>
                        <c15:formulaRef>
                          <c15:sqref>Oktober!$N$50:$N$52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7E9-412C-BC0A-9C378255B379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Oktober!$O$46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Oktober!$L$47:$L$53</c15:sqref>
                        </c15:fullRef>
                        <c15:formulaRef>
                          <c15:sqref>Oktober!$L$50:$L$52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Oktober!$O$47:$O$53</c15:sqref>
                        </c15:fullRef>
                        <c15:formulaRef>
                          <c15:sqref>Oktober!$O$50:$O$52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7E9-412C-BC0A-9C378255B379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Oktober!$P$46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Oktober!$L$47:$L$53</c15:sqref>
                        </c15:fullRef>
                        <c15:formulaRef>
                          <c15:sqref>Oktober!$L$50:$L$52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Oktober!$P$47:$P$53</c15:sqref>
                        </c15:fullRef>
                        <c15:formulaRef>
                          <c15:sqref>Oktober!$P$50:$P$52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7E9-412C-BC0A-9C378255B379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Oktober!$Q$46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Oktober!$L$47:$L$53</c15:sqref>
                        </c15:fullRef>
                        <c15:formulaRef>
                          <c15:sqref>Oktober!$L$50:$L$52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Oktober!$Q$47:$Q$53</c15:sqref>
                        </c15:fullRef>
                        <c15:formulaRef>
                          <c15:sqref>Oktober!$Q$50:$Q$52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7E9-412C-BC0A-9C378255B379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Oktober!$R$46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Oktober!$L$47:$L$53</c15:sqref>
                        </c15:fullRef>
                        <c15:formulaRef>
                          <c15:sqref>Oktober!$L$50:$L$52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Oktober!$R$47:$R$53</c15:sqref>
                        </c15:fullRef>
                        <c15:formulaRef>
                          <c15:sqref>Oktober!$R$50:$R$52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7E9-412C-BC0A-9C378255B379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Oktober!$S$46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Oktober!$L$47:$L$53</c15:sqref>
                        </c15:fullRef>
                        <c15:formulaRef>
                          <c15:sqref>Oktober!$L$50:$L$52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Oktober!$S$47:$S$53</c15:sqref>
                        </c15:fullRef>
                        <c15:formulaRef>
                          <c15:sqref>Oktober!$S$50:$S$52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7E9-412C-BC0A-9C378255B379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Oktober!$U$46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Oktober!$L$47:$L$53</c15:sqref>
                        </c15:fullRef>
                        <c15:formulaRef>
                          <c15:sqref>Oktober!$L$50:$L$52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Oktober!$U$47:$U$53</c15:sqref>
                        </c15:fullRef>
                        <c15:formulaRef>
                          <c15:sqref>Oktober!$U$50:$U$52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7E9-412C-BC0A-9C378255B379}"/>
                  </c:ext>
                </c:extLst>
              </c15:ser>
            </c15:filteredBarSeries>
          </c:ext>
        </c:extLst>
      </c:barChart>
      <c:catAx>
        <c:axId val="1515931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515910447"/>
        <c:crosses val="autoZero"/>
        <c:auto val="1"/>
        <c:lblAlgn val="ctr"/>
        <c:lblOffset val="100"/>
        <c:noMultiLvlLbl val="0"/>
      </c:catAx>
      <c:valAx>
        <c:axId val="1515910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51593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 sz="2200"/>
              <a:t>November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7"/>
          <c:order val="7"/>
          <c:tx>
            <c:strRef>
              <c:f>November!$T$46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9F6C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BDE-415B-842F-6F717642F836}"/>
              </c:ext>
            </c:extLst>
          </c:dPt>
          <c:dPt>
            <c:idx val="1"/>
            <c:invertIfNegative val="0"/>
            <c:bubble3D val="0"/>
            <c:spPr>
              <a:solidFill>
                <a:srgbClr val="C1EFE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BDE-415B-842F-6F717642F836}"/>
              </c:ext>
            </c:extLst>
          </c:dPt>
          <c:dPt>
            <c:idx val="2"/>
            <c:invertIfNegative val="0"/>
            <c:bubble3D val="0"/>
            <c:spPr>
              <a:solidFill>
                <a:srgbClr val="F9CBA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BDE-415B-842F-6F717642F8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November!$L$47:$L$53</c15:sqref>
                  </c15:fullRef>
                </c:ext>
              </c:extLst>
              <c:f>November!$L$50:$L$52</c:f>
              <c:strCache>
                <c:ptCount val="3"/>
                <c:pt idx="0">
                  <c:v>Total kehadiran bulan ini:</c:v>
                </c:pt>
                <c:pt idx="1">
                  <c:v>Total terlambat bulan ini:</c:v>
                </c:pt>
                <c:pt idx="2">
                  <c:v>Total tidak hadir bulan ini: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November!$T$47:$T$53</c15:sqref>
                  </c15:fullRef>
                </c:ext>
              </c:extLst>
              <c:f>November!$T$50:$T$52</c:f>
              <c:numCache>
                <c:formatCode>General</c:formatCode>
                <c:ptCount val="3"/>
                <c:pt idx="0">
                  <c:v>444</c:v>
                </c:pt>
                <c:pt idx="1">
                  <c:v>96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E-415B-842F-6F717642F8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15938287"/>
        <c:axId val="151595460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November!$M$46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November!$L$47:$L$53</c15:sqref>
                        </c15:fullRef>
                        <c15:formulaRef>
                          <c15:sqref>November!$L$50:$L$52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November!$M$47:$M$53</c15:sqref>
                        </c15:fullRef>
                        <c15:formulaRef>
                          <c15:sqref>November!$M$50:$M$52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BDE-415B-842F-6F717642F83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November!$N$46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November!$L$47:$L$53</c15:sqref>
                        </c15:fullRef>
                        <c15:formulaRef>
                          <c15:sqref>November!$L$50:$L$52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November!$N$47:$N$53</c15:sqref>
                        </c15:fullRef>
                        <c15:formulaRef>
                          <c15:sqref>November!$N$50:$N$52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BDE-415B-842F-6F717642F83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November!$O$46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November!$L$47:$L$53</c15:sqref>
                        </c15:fullRef>
                        <c15:formulaRef>
                          <c15:sqref>November!$L$50:$L$52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November!$O$47:$O$53</c15:sqref>
                        </c15:fullRef>
                        <c15:formulaRef>
                          <c15:sqref>November!$O$50:$O$52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BDE-415B-842F-6F717642F83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November!$P$46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November!$L$47:$L$53</c15:sqref>
                        </c15:fullRef>
                        <c15:formulaRef>
                          <c15:sqref>November!$L$50:$L$52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November!$P$47:$P$53</c15:sqref>
                        </c15:fullRef>
                        <c15:formulaRef>
                          <c15:sqref>November!$P$50:$P$52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BDE-415B-842F-6F717642F83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November!$Q$46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November!$L$47:$L$53</c15:sqref>
                        </c15:fullRef>
                        <c15:formulaRef>
                          <c15:sqref>November!$L$50:$L$52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November!$Q$47:$Q$53</c15:sqref>
                        </c15:fullRef>
                        <c15:formulaRef>
                          <c15:sqref>November!$Q$50:$Q$52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BDE-415B-842F-6F717642F83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November!$R$46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November!$L$47:$L$53</c15:sqref>
                        </c15:fullRef>
                        <c15:formulaRef>
                          <c15:sqref>November!$L$50:$L$52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November!$R$47:$R$53</c15:sqref>
                        </c15:fullRef>
                        <c15:formulaRef>
                          <c15:sqref>November!$R$50:$R$52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BDE-415B-842F-6F717642F83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November!$S$46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November!$L$47:$L$53</c15:sqref>
                        </c15:fullRef>
                        <c15:formulaRef>
                          <c15:sqref>November!$L$50:$L$52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November!$S$47:$S$53</c15:sqref>
                        </c15:fullRef>
                        <c15:formulaRef>
                          <c15:sqref>November!$S$50:$S$52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BDE-415B-842F-6F717642F836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November!$U$46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November!$L$47:$L$53</c15:sqref>
                        </c15:fullRef>
                        <c15:formulaRef>
                          <c15:sqref>November!$L$50:$L$52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November!$U$47:$U$53</c15:sqref>
                        </c15:fullRef>
                        <c15:formulaRef>
                          <c15:sqref>November!$U$50:$U$52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BDE-415B-842F-6F717642F836}"/>
                  </c:ext>
                </c:extLst>
              </c15:ser>
            </c15:filteredBarSeries>
          </c:ext>
        </c:extLst>
      </c:barChart>
      <c:catAx>
        <c:axId val="1515938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515954607"/>
        <c:crosses val="autoZero"/>
        <c:auto val="1"/>
        <c:lblAlgn val="ctr"/>
        <c:lblOffset val="100"/>
        <c:noMultiLvlLbl val="0"/>
      </c:catAx>
      <c:valAx>
        <c:axId val="1515954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51593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 sz="2200"/>
              <a:t>Desember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7"/>
          <c:order val="7"/>
          <c:tx>
            <c:strRef>
              <c:f>Desember!$T$46</c:f>
              <c:strCache>
                <c:ptCount val="1"/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9F6C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568-4317-8816-34FA13C00938}"/>
              </c:ext>
            </c:extLst>
          </c:dPt>
          <c:dPt>
            <c:idx val="1"/>
            <c:invertIfNegative val="0"/>
            <c:bubble3D val="0"/>
            <c:spPr>
              <a:solidFill>
                <a:srgbClr val="C1EFE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568-4317-8816-34FA13C00938}"/>
              </c:ext>
            </c:extLst>
          </c:dPt>
          <c:dPt>
            <c:idx val="2"/>
            <c:invertIfNegative val="0"/>
            <c:bubble3D val="0"/>
            <c:spPr>
              <a:solidFill>
                <a:srgbClr val="F9CBA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568-4317-8816-34FA13C009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Desember!$L$47:$L$53</c15:sqref>
                  </c15:fullRef>
                </c:ext>
              </c:extLst>
              <c:f>Desember!$L$50:$L$52</c:f>
              <c:strCache>
                <c:ptCount val="3"/>
                <c:pt idx="0">
                  <c:v>Total kehadiran bulan ini:</c:v>
                </c:pt>
                <c:pt idx="1">
                  <c:v>Total terlambat bulan ini:</c:v>
                </c:pt>
                <c:pt idx="2">
                  <c:v>Total tidak hadir bulan ini: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Desember!$T$47:$T$53</c15:sqref>
                  </c15:fullRef>
                </c:ext>
              </c:extLst>
              <c:f>Desember!$T$50:$T$52</c:f>
              <c:numCache>
                <c:formatCode>General</c:formatCode>
                <c:ptCount val="3"/>
                <c:pt idx="0">
                  <c:v>424</c:v>
                </c:pt>
                <c:pt idx="1">
                  <c:v>96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68-4317-8816-34FA13C009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71857599"/>
        <c:axId val="177185807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Desember!$M$46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Desember!$L$47:$L$53</c15:sqref>
                        </c15:fullRef>
                        <c15:formulaRef>
                          <c15:sqref>Desember!$L$50:$L$52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Desember!$M$47:$M$53</c15:sqref>
                        </c15:fullRef>
                        <c15:formulaRef>
                          <c15:sqref>Desember!$M$50:$M$52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568-4317-8816-34FA13C0093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Desember!$N$46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Desember!$L$47:$L$53</c15:sqref>
                        </c15:fullRef>
                        <c15:formulaRef>
                          <c15:sqref>Desember!$L$50:$L$52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Desember!$N$47:$N$53</c15:sqref>
                        </c15:fullRef>
                        <c15:formulaRef>
                          <c15:sqref>Desember!$N$50:$N$52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568-4317-8816-34FA13C0093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Desember!$O$46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Desember!$L$47:$L$53</c15:sqref>
                        </c15:fullRef>
                        <c15:formulaRef>
                          <c15:sqref>Desember!$L$50:$L$52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Desember!$O$47:$O$53</c15:sqref>
                        </c15:fullRef>
                        <c15:formulaRef>
                          <c15:sqref>Desember!$O$50:$O$52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568-4317-8816-34FA13C0093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Desember!$P$46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Desember!$L$47:$L$53</c15:sqref>
                        </c15:fullRef>
                        <c15:formulaRef>
                          <c15:sqref>Desember!$L$50:$L$52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Desember!$P$47:$P$53</c15:sqref>
                        </c15:fullRef>
                        <c15:formulaRef>
                          <c15:sqref>Desember!$P$50:$P$52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568-4317-8816-34FA13C0093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Desember!$Q$46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Desember!$L$47:$L$53</c15:sqref>
                        </c15:fullRef>
                        <c15:formulaRef>
                          <c15:sqref>Desember!$L$50:$L$52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Desember!$Q$47:$Q$53</c15:sqref>
                        </c15:fullRef>
                        <c15:formulaRef>
                          <c15:sqref>Desember!$Q$50:$Q$52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568-4317-8816-34FA13C00938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Desember!$R$46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Desember!$L$47:$L$53</c15:sqref>
                        </c15:fullRef>
                        <c15:formulaRef>
                          <c15:sqref>Desember!$L$50:$L$52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Desember!$R$47:$R$53</c15:sqref>
                        </c15:fullRef>
                        <c15:formulaRef>
                          <c15:sqref>Desember!$R$50:$R$52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568-4317-8816-34FA13C00938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Desember!$S$46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Desember!$L$47:$L$53</c15:sqref>
                        </c15:fullRef>
                        <c15:formulaRef>
                          <c15:sqref>Desember!$L$50:$L$52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Desember!$S$47:$S$53</c15:sqref>
                        </c15:fullRef>
                        <c15:formulaRef>
                          <c15:sqref>Desember!$S$50:$S$52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568-4317-8816-34FA13C00938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Desember!$U$46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Century Gothic" panose="020B0502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Desember!$L$47:$L$53</c15:sqref>
                        </c15:fullRef>
                        <c15:formulaRef>
                          <c15:sqref>Desember!$L$50:$L$52</c15:sqref>
                        </c15:formulaRef>
                      </c:ext>
                    </c:extLst>
                    <c:strCache>
                      <c:ptCount val="3"/>
                      <c:pt idx="0">
                        <c:v>Total kehadiran bulan ini:</c:v>
                      </c:pt>
                      <c:pt idx="1">
                        <c:v>Total terlambat bulan ini:</c:v>
                      </c:pt>
                      <c:pt idx="2">
                        <c:v>Total tidak hadir bulan ini: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Desember!$U$47:$U$53</c15:sqref>
                        </c15:fullRef>
                        <c15:formulaRef>
                          <c15:sqref>Desember!$U$50:$U$52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568-4317-8816-34FA13C00938}"/>
                  </c:ext>
                </c:extLst>
              </c15:ser>
            </c15:filteredBarSeries>
          </c:ext>
        </c:extLst>
      </c:barChart>
      <c:catAx>
        <c:axId val="1771857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771858079"/>
        <c:crosses val="autoZero"/>
        <c:auto val="1"/>
        <c:lblAlgn val="ctr"/>
        <c:lblOffset val="100"/>
        <c:noMultiLvlLbl val="0"/>
      </c:catAx>
      <c:valAx>
        <c:axId val="1771858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en-US"/>
          </a:p>
        </c:txPr>
        <c:crossAx val="177185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Century Gothic" panose="020B0502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22</xdr:row>
      <xdr:rowOff>66675</xdr:rowOff>
    </xdr:from>
    <xdr:to>
      <xdr:col>6</xdr:col>
      <xdr:colOff>466725</xdr:colOff>
      <xdr:row>39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DACFD4-63D8-4608-BC6C-A00F482F6F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22</xdr:row>
      <xdr:rowOff>66675</xdr:rowOff>
    </xdr:from>
    <xdr:to>
      <xdr:col>12</xdr:col>
      <xdr:colOff>495300</xdr:colOff>
      <xdr:row>39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E27B0D-951C-4B55-98B6-64CFAE2905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104775</xdr:colOff>
      <xdr:row>22</xdr:row>
      <xdr:rowOff>66675</xdr:rowOff>
    </xdr:from>
    <xdr:to>
      <xdr:col>25</xdr:col>
      <xdr:colOff>19050</xdr:colOff>
      <xdr:row>39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C88895-4C9F-4829-A376-9C7CF94ED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171450</xdr:colOff>
      <xdr:row>40</xdr:row>
      <xdr:rowOff>0</xdr:rowOff>
    </xdr:from>
    <xdr:to>
      <xdr:col>6</xdr:col>
      <xdr:colOff>457200</xdr:colOff>
      <xdr:row>56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8024696-EC69-4C46-8D3A-FE04ED719E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38100</xdr:colOff>
      <xdr:row>40</xdr:row>
      <xdr:rowOff>0</xdr:rowOff>
    </xdr:from>
    <xdr:to>
      <xdr:col>12</xdr:col>
      <xdr:colOff>504825</xdr:colOff>
      <xdr:row>56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14ADCF6-AD7A-4224-A809-5FC2F83AAE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47625</xdr:colOff>
      <xdr:row>39</xdr:row>
      <xdr:rowOff>133350</xdr:rowOff>
    </xdr:from>
    <xdr:to>
      <xdr:col>19</xdr:col>
      <xdr:colOff>0</xdr:colOff>
      <xdr:row>56</xdr:row>
      <xdr:rowOff>123825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380072-0D78-4B2B-9532-B455751DC0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85725</xdr:colOff>
      <xdr:row>39</xdr:row>
      <xdr:rowOff>142875</xdr:rowOff>
    </xdr:from>
    <xdr:to>
      <xdr:col>25</xdr:col>
      <xdr:colOff>28575</xdr:colOff>
      <xdr:row>56</xdr:row>
      <xdr:rowOff>133350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2D5DD55-F9EA-4565-93BC-A665E904A0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180975</xdr:colOff>
      <xdr:row>57</xdr:row>
      <xdr:rowOff>95250</xdr:rowOff>
    </xdr:from>
    <xdr:to>
      <xdr:col>6</xdr:col>
      <xdr:colOff>485775</xdr:colOff>
      <xdr:row>74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CF7D045-E5B6-48F3-B173-CEC83E0D50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38100</xdr:colOff>
      <xdr:row>57</xdr:row>
      <xdr:rowOff>95250</xdr:rowOff>
    </xdr:from>
    <xdr:to>
      <xdr:col>12</xdr:col>
      <xdr:colOff>533400</xdr:colOff>
      <xdr:row>74</xdr:row>
      <xdr:rowOff>85725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0184AA3-8A08-4709-A0CD-1EF931CAB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57150</xdr:colOff>
      <xdr:row>57</xdr:row>
      <xdr:rowOff>95250</xdr:rowOff>
    </xdr:from>
    <xdr:to>
      <xdr:col>18</xdr:col>
      <xdr:colOff>600075</xdr:colOff>
      <xdr:row>74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DC61A93-0BA2-4877-8838-F9E424D253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66675</xdr:colOff>
      <xdr:row>57</xdr:row>
      <xdr:rowOff>95250</xdr:rowOff>
    </xdr:from>
    <xdr:to>
      <xdr:col>25</xdr:col>
      <xdr:colOff>38100</xdr:colOff>
      <xdr:row>74</xdr:row>
      <xdr:rowOff>85725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6C152A1-0379-41B7-980D-C8970A5105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180975</xdr:colOff>
      <xdr:row>4</xdr:row>
      <xdr:rowOff>9525</xdr:rowOff>
    </xdr:from>
    <xdr:to>
      <xdr:col>25</xdr:col>
      <xdr:colOff>9525</xdr:colOff>
      <xdr:row>21</xdr:row>
      <xdr:rowOff>47625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5D6448A-2FE1-BD0C-2A61-605F59EAD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57150</xdr:colOff>
      <xdr:row>22</xdr:row>
      <xdr:rowOff>47625</xdr:rowOff>
    </xdr:from>
    <xdr:to>
      <xdr:col>18</xdr:col>
      <xdr:colOff>571500</xdr:colOff>
      <xdr:row>39</xdr:row>
      <xdr:rowOff>38100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F427310-68F8-4F3F-BB51-6396E54BEB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31750</xdr:colOff>
      <xdr:row>22</xdr:row>
      <xdr:rowOff>69850</xdr:rowOff>
    </xdr:from>
    <xdr:to>
      <xdr:col>12</xdr:col>
      <xdr:colOff>514350</xdr:colOff>
      <xdr:row>39</xdr:row>
      <xdr:rowOff>63500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FD700877-2B01-4328-B76A-A263F62DC1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</xdr:col>
      <xdr:colOff>50800</xdr:colOff>
      <xdr:row>22</xdr:row>
      <xdr:rowOff>50800</xdr:rowOff>
    </xdr:from>
    <xdr:to>
      <xdr:col>19</xdr:col>
      <xdr:colOff>6350</xdr:colOff>
      <xdr:row>39</xdr:row>
      <xdr:rowOff>38100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D05C97A-7DBB-460A-861D-2FF154058A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19</xdr:col>
      <xdr:colOff>92362</xdr:colOff>
      <xdr:row>22</xdr:row>
      <xdr:rowOff>69271</xdr:rowOff>
    </xdr:from>
    <xdr:to>
      <xdr:col>25</xdr:col>
      <xdr:colOff>11546</xdr:colOff>
      <xdr:row>39</xdr:row>
      <xdr:rowOff>57726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4326DF64-B0CB-4BE8-9692-F5E9EB6B97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173183</xdr:colOff>
      <xdr:row>40</xdr:row>
      <xdr:rowOff>0</xdr:rowOff>
    </xdr:from>
    <xdr:to>
      <xdr:col>6</xdr:col>
      <xdr:colOff>461818</xdr:colOff>
      <xdr:row>57</xdr:row>
      <xdr:rowOff>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798DE9A5-A19F-4F51-A922-723F105F65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</xdr:col>
      <xdr:colOff>11546</xdr:colOff>
      <xdr:row>39</xdr:row>
      <xdr:rowOff>150091</xdr:rowOff>
    </xdr:from>
    <xdr:to>
      <xdr:col>12</xdr:col>
      <xdr:colOff>508001</xdr:colOff>
      <xdr:row>56</xdr:row>
      <xdr:rowOff>150092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ABB40914-074F-4DC6-A87C-8F76CE5387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13</xdr:col>
      <xdr:colOff>46183</xdr:colOff>
      <xdr:row>39</xdr:row>
      <xdr:rowOff>138545</xdr:rowOff>
    </xdr:from>
    <xdr:to>
      <xdr:col>19</xdr:col>
      <xdr:colOff>23091</xdr:colOff>
      <xdr:row>56</xdr:row>
      <xdr:rowOff>133927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9F95B466-EF7E-4F05-A9DD-560CDA44DD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19</xdr:col>
      <xdr:colOff>80817</xdr:colOff>
      <xdr:row>39</xdr:row>
      <xdr:rowOff>150091</xdr:rowOff>
    </xdr:from>
    <xdr:to>
      <xdr:col>25</xdr:col>
      <xdr:colOff>23091</xdr:colOff>
      <xdr:row>56</xdr:row>
      <xdr:rowOff>145473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6BEF2B73-033B-40ED-A65F-FCB820C4A1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184726</xdr:colOff>
      <xdr:row>57</xdr:row>
      <xdr:rowOff>92364</xdr:rowOff>
    </xdr:from>
    <xdr:to>
      <xdr:col>6</xdr:col>
      <xdr:colOff>508000</xdr:colOff>
      <xdr:row>74</xdr:row>
      <xdr:rowOff>92364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BD112CFA-C628-46DF-9CA3-85E9B67487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</xdr:col>
      <xdr:colOff>1</xdr:colOff>
      <xdr:row>57</xdr:row>
      <xdr:rowOff>103908</xdr:rowOff>
    </xdr:from>
    <xdr:to>
      <xdr:col>12</xdr:col>
      <xdr:colOff>519546</xdr:colOff>
      <xdr:row>74</xdr:row>
      <xdr:rowOff>99290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2EC83B6C-BB09-4A8F-B0C7-DAE65E34FB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13</xdr:col>
      <xdr:colOff>46182</xdr:colOff>
      <xdr:row>57</xdr:row>
      <xdr:rowOff>92363</xdr:rowOff>
    </xdr:from>
    <xdr:to>
      <xdr:col>19</xdr:col>
      <xdr:colOff>34637</xdr:colOff>
      <xdr:row>74</xdr:row>
      <xdr:rowOff>87745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AF961475-CEC4-43A0-85DC-47C61364A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19</xdr:col>
      <xdr:colOff>80819</xdr:colOff>
      <xdr:row>57</xdr:row>
      <xdr:rowOff>92365</xdr:rowOff>
    </xdr:from>
    <xdr:to>
      <xdr:col>25</xdr:col>
      <xdr:colOff>23091</xdr:colOff>
      <xdr:row>74</xdr:row>
      <xdr:rowOff>87747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CFB5D154-DC42-4F1F-9D7A-ED4D69C97E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2B0DF-CBE4-4BD0-A904-AD35F9B7C519}">
  <sheetPr codeName="Sheet1">
    <tabColor theme="8" tint="0.59999389629810485"/>
    <pageSetUpPr fitToPage="1"/>
  </sheetPr>
  <dimension ref="A1:AJ8"/>
  <sheetViews>
    <sheetView showGridLines="0" topLeftCell="A46" zoomScale="55" zoomScaleNormal="55" workbookViewId="0">
      <selection activeCell="F8" sqref="F8:H8"/>
    </sheetView>
  </sheetViews>
  <sheetFormatPr defaultColWidth="8.81640625" defaultRowHeight="12.5" x14ac:dyDescent="0.25"/>
  <cols>
    <col min="1" max="1" width="3.6328125" customWidth="1"/>
    <col min="2" max="2" width="11.453125" customWidth="1"/>
    <col min="26" max="26" width="3.6328125" customWidth="1"/>
  </cols>
  <sheetData>
    <row r="1" spans="1:36" ht="50" customHeight="1" thickBot="1" x14ac:dyDescent="0.3">
      <c r="B1" s="26" t="s">
        <v>86</v>
      </c>
    </row>
    <row r="2" spans="1:36" s="1" customFormat="1" ht="44" customHeight="1" x14ac:dyDescent="0.35">
      <c r="A2" s="2"/>
      <c r="B2" s="41" t="s">
        <v>1</v>
      </c>
      <c r="C2" s="41"/>
      <c r="D2" s="41"/>
      <c r="E2" s="42" t="s">
        <v>4</v>
      </c>
      <c r="F2" s="43"/>
      <c r="G2" s="21" t="s">
        <v>8</v>
      </c>
      <c r="I2" s="44" t="s">
        <v>5</v>
      </c>
      <c r="J2" s="45"/>
      <c r="K2" s="11" t="s">
        <v>9</v>
      </c>
      <c r="M2" s="46" t="s">
        <v>7</v>
      </c>
      <c r="N2" s="47"/>
      <c r="O2" s="12" t="s">
        <v>10</v>
      </c>
      <c r="Q2" s="46" t="s">
        <v>6</v>
      </c>
      <c r="R2" s="47"/>
      <c r="S2" s="12" t="s">
        <v>0</v>
      </c>
      <c r="T2" s="23"/>
      <c r="U2" s="40"/>
      <c r="V2" s="40"/>
      <c r="W2" s="40"/>
      <c r="X2" s="22"/>
      <c r="AC2" s="2"/>
      <c r="AD2" s="2"/>
      <c r="AE2" s="2"/>
      <c r="AF2" s="2"/>
      <c r="AG2" s="2"/>
      <c r="AH2" s="2"/>
      <c r="AI2" s="2"/>
      <c r="AJ2" s="2"/>
    </row>
    <row r="4" spans="1:36" ht="32" customHeight="1" thickBot="1" x14ac:dyDescent="0.3">
      <c r="B4" s="27" t="s">
        <v>85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</row>
    <row r="5" spans="1:36" ht="32" customHeight="1" thickTop="1" x14ac:dyDescent="0.25">
      <c r="B5" s="31" t="s">
        <v>82</v>
      </c>
      <c r="C5" s="32"/>
      <c r="D5" s="32"/>
      <c r="E5" s="33"/>
      <c r="F5" s="28">
        <f>SUM(Januari:Desember!T50:U50)</f>
        <v>5188</v>
      </c>
      <c r="G5" s="28"/>
      <c r="H5" s="28"/>
    </row>
    <row r="6" spans="1:36" ht="32" customHeight="1" x14ac:dyDescent="0.25">
      <c r="B6" s="34" t="s">
        <v>81</v>
      </c>
      <c r="C6" s="35"/>
      <c r="D6" s="35"/>
      <c r="E6" s="36"/>
      <c r="F6" s="29">
        <f>SUM(Januari:Desember!T51:U51)</f>
        <v>1152</v>
      </c>
      <c r="G6" s="29"/>
      <c r="H6" s="29"/>
    </row>
    <row r="7" spans="1:36" ht="32" customHeight="1" x14ac:dyDescent="0.25">
      <c r="B7" s="34" t="s">
        <v>83</v>
      </c>
      <c r="C7" s="35"/>
      <c r="D7" s="35"/>
      <c r="E7" s="36"/>
      <c r="F7" s="29">
        <f>SUM(Januari:Desember!T52:U52)</f>
        <v>940</v>
      </c>
      <c r="G7" s="29"/>
      <c r="H7" s="29"/>
    </row>
    <row r="8" spans="1:36" ht="47.5" customHeight="1" x14ac:dyDescent="0.25">
      <c r="B8" s="37" t="s">
        <v>84</v>
      </c>
      <c r="C8" s="38"/>
      <c r="D8" s="38"/>
      <c r="E8" s="39"/>
      <c r="F8" s="30">
        <f>IF((F5+F6+F7)=0,0,(F5+F6)/((F5+F6+F7)))</f>
        <v>0.87087912087912089</v>
      </c>
      <c r="G8" s="30"/>
      <c r="H8" s="30"/>
    </row>
  </sheetData>
  <mergeCells count="15">
    <mergeCell ref="U2:W2"/>
    <mergeCell ref="B2:D2"/>
    <mergeCell ref="E2:F2"/>
    <mergeCell ref="I2:J2"/>
    <mergeCell ref="M2:N2"/>
    <mergeCell ref="Q2:R2"/>
    <mergeCell ref="B4:Y4"/>
    <mergeCell ref="F5:H5"/>
    <mergeCell ref="F6:H6"/>
    <mergeCell ref="F7:H7"/>
    <mergeCell ref="F8:H8"/>
    <mergeCell ref="B5:E5"/>
    <mergeCell ref="B6:E6"/>
    <mergeCell ref="B7:E7"/>
    <mergeCell ref="B8:E8"/>
  </mergeCells>
  <conditionalFormatting sqref="G2 K2 O2">
    <cfRule type="cellIs" dxfId="138" priority="1" operator="equal">
      <formula>"I"</formula>
    </cfRule>
    <cfRule type="cellIs" dxfId="137" priority="5" operator="equal">
      <formula>"H"</formula>
    </cfRule>
    <cfRule type="cellIs" dxfId="136" priority="6" operator="equal">
      <formula>"T"</formula>
    </cfRule>
    <cfRule type="cellIs" dxfId="135" priority="7" operator="equal">
      <formula>"A"</formula>
    </cfRule>
  </conditionalFormatting>
  <conditionalFormatting sqref="S2">
    <cfRule type="cellIs" dxfId="134" priority="2" operator="equal">
      <formula>"H"</formula>
    </cfRule>
    <cfRule type="cellIs" dxfId="133" priority="3" operator="equal">
      <formula>"T"</formula>
    </cfRule>
    <cfRule type="cellIs" dxfId="132" priority="4" operator="equal">
      <formula>"A"</formula>
    </cfRule>
  </conditionalFormatting>
  <pageMargins left="0.25" right="0.25" top="0.75" bottom="0.75" header="0.3" footer="0.3"/>
  <pageSetup scale="47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A733B-1202-4496-B67B-506570DBC9EF}">
  <sheetPr codeName="Sheet2">
    <tabColor rgb="FFE6D92E"/>
    <outlinePr summaryBelow="0" summaryRight="0"/>
    <pageSetUpPr fitToPage="1"/>
  </sheetPr>
  <dimension ref="A1:AJ650"/>
  <sheetViews>
    <sheetView showGridLines="0" tabSelected="1" topLeftCell="I39" zoomScale="70" zoomScaleNormal="70" workbookViewId="0">
      <selection activeCell="T52" sqref="T52:U52"/>
    </sheetView>
  </sheetViews>
  <sheetFormatPr defaultColWidth="14.453125" defaultRowHeight="15.75" customHeight="1" x14ac:dyDescent="0.25"/>
  <cols>
    <col min="1" max="1" width="3.36328125" style="1" customWidth="1"/>
    <col min="2" max="2" width="19.36328125" style="1" customWidth="1"/>
    <col min="3" max="4" width="14.81640625" style="1" customWidth="1"/>
    <col min="5" max="35" width="7.81640625" style="1" customWidth="1"/>
    <col min="36" max="36" width="3.36328125" style="1" customWidth="1"/>
    <col min="37" max="16384" width="14.453125" style="1"/>
  </cols>
  <sheetData>
    <row r="1" spans="1:36" ht="50" customHeight="1" thickBot="1" x14ac:dyDescent="0.4">
      <c r="A1" s="2"/>
      <c r="B1" s="20" t="s">
        <v>2</v>
      </c>
      <c r="C1" s="2"/>
      <c r="D1" s="3"/>
      <c r="E1" s="4"/>
      <c r="F1" s="2"/>
      <c r="G1" s="3"/>
      <c r="H1" s="3"/>
      <c r="I1" s="2"/>
      <c r="J1" s="2"/>
      <c r="K1" s="3"/>
      <c r="L1" s="3"/>
      <c r="M1" s="2"/>
      <c r="N1" s="2"/>
      <c r="O1" s="3"/>
      <c r="P1" s="3"/>
      <c r="R1" s="2"/>
      <c r="S1" s="3"/>
      <c r="T1" s="3"/>
      <c r="V1" s="2"/>
      <c r="X1" s="2"/>
      <c r="Y1" s="2"/>
      <c r="Z1" s="2"/>
      <c r="AA1" s="2"/>
      <c r="AB1" s="2"/>
      <c r="AC1" s="2"/>
      <c r="AD1" s="2"/>
      <c r="AE1" s="2"/>
      <c r="AF1" s="2"/>
      <c r="AH1" s="2"/>
      <c r="AI1" s="2"/>
      <c r="AJ1" s="2"/>
    </row>
    <row r="2" spans="1:36" ht="44" customHeight="1" x14ac:dyDescent="0.35">
      <c r="A2" s="2"/>
      <c r="B2" s="76" t="s">
        <v>3</v>
      </c>
      <c r="C2" s="76"/>
      <c r="D2" s="77"/>
      <c r="E2" s="42" t="s">
        <v>4</v>
      </c>
      <c r="F2" s="43"/>
      <c r="G2" s="21" t="s">
        <v>8</v>
      </c>
      <c r="I2" s="44" t="s">
        <v>5</v>
      </c>
      <c r="J2" s="45"/>
      <c r="K2" s="11" t="s">
        <v>9</v>
      </c>
      <c r="M2" s="46" t="s">
        <v>7</v>
      </c>
      <c r="N2" s="47"/>
      <c r="O2" s="12" t="s">
        <v>10</v>
      </c>
      <c r="Q2" s="46" t="s">
        <v>6</v>
      </c>
      <c r="R2" s="47"/>
      <c r="S2" s="12" t="s">
        <v>0</v>
      </c>
      <c r="T2" s="23"/>
      <c r="U2" s="40"/>
      <c r="V2" s="40"/>
      <c r="W2" s="40"/>
      <c r="X2" s="22"/>
      <c r="AC2" s="2"/>
      <c r="AD2" s="2"/>
      <c r="AE2" s="2"/>
      <c r="AF2" s="2"/>
      <c r="AG2" s="2"/>
      <c r="AH2" s="2"/>
      <c r="AI2" s="2"/>
      <c r="AJ2" s="2"/>
    </row>
    <row r="3" spans="1:36" ht="16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ht="25" customHeight="1" x14ac:dyDescent="0.35">
      <c r="A4" s="2"/>
      <c r="B4" s="25" t="s">
        <v>16</v>
      </c>
      <c r="C4" s="73" t="s">
        <v>15</v>
      </c>
      <c r="D4" s="74"/>
      <c r="E4" s="24">
        <v>1</v>
      </c>
      <c r="F4" s="24">
        <v>2</v>
      </c>
      <c r="G4" s="24">
        <v>3</v>
      </c>
      <c r="H4" s="24">
        <v>4</v>
      </c>
      <c r="I4" s="24">
        <v>5</v>
      </c>
      <c r="J4" s="24">
        <v>6</v>
      </c>
      <c r="K4" s="24">
        <v>7</v>
      </c>
      <c r="L4" s="24">
        <v>8</v>
      </c>
      <c r="M4" s="24">
        <v>9</v>
      </c>
      <c r="N4" s="24">
        <v>10</v>
      </c>
      <c r="O4" s="24">
        <v>11</v>
      </c>
      <c r="P4" s="24">
        <v>12</v>
      </c>
      <c r="Q4" s="24">
        <v>13</v>
      </c>
      <c r="R4" s="24">
        <v>14</v>
      </c>
      <c r="S4" s="24">
        <v>15</v>
      </c>
      <c r="T4" s="24">
        <v>16</v>
      </c>
      <c r="U4" s="24">
        <v>17</v>
      </c>
      <c r="V4" s="24">
        <v>18</v>
      </c>
      <c r="W4" s="24">
        <v>19</v>
      </c>
      <c r="X4" s="24">
        <v>20</v>
      </c>
      <c r="Y4" s="24">
        <v>21</v>
      </c>
      <c r="Z4" s="24">
        <v>22</v>
      </c>
      <c r="AA4" s="24">
        <v>23</v>
      </c>
      <c r="AB4" s="24">
        <v>24</v>
      </c>
      <c r="AC4" s="24">
        <v>25</v>
      </c>
      <c r="AD4" s="24">
        <v>26</v>
      </c>
      <c r="AE4" s="24">
        <v>27</v>
      </c>
      <c r="AF4" s="24">
        <v>28</v>
      </c>
      <c r="AG4" s="24">
        <v>29</v>
      </c>
      <c r="AH4" s="24">
        <v>30</v>
      </c>
      <c r="AI4" s="24">
        <v>31</v>
      </c>
      <c r="AJ4" s="2"/>
    </row>
    <row r="5" spans="1:36" ht="22" customHeight="1" x14ac:dyDescent="0.35">
      <c r="A5" s="2"/>
      <c r="B5" s="75" t="s">
        <v>22</v>
      </c>
      <c r="C5" s="75"/>
      <c r="D5" s="75"/>
      <c r="E5" s="16" t="s">
        <v>10</v>
      </c>
      <c r="F5" s="16" t="s">
        <v>0</v>
      </c>
      <c r="G5" s="17" t="s">
        <v>8</v>
      </c>
      <c r="H5" s="17" t="s">
        <v>8</v>
      </c>
      <c r="I5" s="17" t="s">
        <v>8</v>
      </c>
      <c r="J5" s="17" t="s">
        <v>8</v>
      </c>
      <c r="K5" s="17" t="s">
        <v>8</v>
      </c>
      <c r="L5" s="19" t="s">
        <v>8</v>
      </c>
      <c r="M5" s="19" t="s">
        <v>9</v>
      </c>
      <c r="N5" s="18" t="s">
        <v>9</v>
      </c>
      <c r="O5" s="18" t="s">
        <v>8</v>
      </c>
      <c r="P5" s="18" t="s">
        <v>9</v>
      </c>
      <c r="Q5" s="18" t="s">
        <v>8</v>
      </c>
      <c r="R5" s="18" t="s">
        <v>8</v>
      </c>
      <c r="S5" s="18" t="s">
        <v>8</v>
      </c>
      <c r="T5" s="18" t="s">
        <v>8</v>
      </c>
      <c r="U5" s="18" t="s">
        <v>9</v>
      </c>
      <c r="V5" s="18" t="s">
        <v>8</v>
      </c>
      <c r="W5" s="18" t="s">
        <v>8</v>
      </c>
      <c r="X5" s="18" t="s">
        <v>8</v>
      </c>
      <c r="Y5" s="18" t="s">
        <v>9</v>
      </c>
      <c r="Z5" s="18" t="s">
        <v>0</v>
      </c>
      <c r="AA5" s="18" t="s">
        <v>0</v>
      </c>
      <c r="AB5" s="18" t="s">
        <v>8</v>
      </c>
      <c r="AC5" s="18" t="s">
        <v>8</v>
      </c>
      <c r="AD5" s="18" t="s">
        <v>8</v>
      </c>
      <c r="AE5" s="18" t="s">
        <v>8</v>
      </c>
      <c r="AF5" s="18" t="s">
        <v>8</v>
      </c>
      <c r="AG5" s="18" t="s">
        <v>8</v>
      </c>
      <c r="AH5" s="18" t="s">
        <v>0</v>
      </c>
      <c r="AI5" s="18" t="s">
        <v>8</v>
      </c>
      <c r="AJ5" s="2"/>
    </row>
    <row r="6" spans="1:36" s="8" customFormat="1" ht="22" customHeight="1" thickBot="1" x14ac:dyDescent="0.3">
      <c r="A6" s="6"/>
      <c r="B6" s="65" t="s">
        <v>18</v>
      </c>
      <c r="C6" s="66"/>
      <c r="D6" s="7" t="s">
        <v>17</v>
      </c>
      <c r="E6" s="67" t="s">
        <v>11</v>
      </c>
      <c r="F6" s="68"/>
      <c r="G6" s="13">
        <f>COUNTIF(E5:AI5,"H")</f>
        <v>21</v>
      </c>
      <c r="H6" s="67" t="s">
        <v>12</v>
      </c>
      <c r="I6" s="68"/>
      <c r="J6" s="13">
        <f>COUNTIF(E5:AI5,"T")</f>
        <v>5</v>
      </c>
      <c r="K6" s="67" t="s">
        <v>13</v>
      </c>
      <c r="L6" s="68"/>
      <c r="M6" s="13">
        <f>COUNTIF(E5:AI5,"A") + COUNTIF(E5:AI5,"I")</f>
        <v>5</v>
      </c>
      <c r="N6" s="67" t="s">
        <v>14</v>
      </c>
      <c r="O6" s="68"/>
      <c r="P6" s="13">
        <f>IF((G6+J6+M6)=0,0,(G6+J6)/(G6+J6+M6)*100)</f>
        <v>83.870967741935488</v>
      </c>
      <c r="Q6" s="67"/>
      <c r="R6" s="68"/>
      <c r="S6" s="13"/>
      <c r="T6" s="67"/>
      <c r="U6" s="68"/>
      <c r="V6" s="14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6"/>
    </row>
    <row r="7" spans="1:36" ht="22" customHeight="1" x14ac:dyDescent="0.25">
      <c r="A7" s="5"/>
      <c r="B7" s="72" t="s">
        <v>23</v>
      </c>
      <c r="C7" s="72"/>
      <c r="D7" s="72"/>
      <c r="E7" s="16" t="s">
        <v>8</v>
      </c>
      <c r="F7" s="16" t="s">
        <v>0</v>
      </c>
      <c r="G7" s="17" t="s">
        <v>8</v>
      </c>
      <c r="H7" s="17" t="s">
        <v>8</v>
      </c>
      <c r="I7" s="17" t="s">
        <v>8</v>
      </c>
      <c r="J7" s="17" t="s">
        <v>8</v>
      </c>
      <c r="K7" s="17" t="s">
        <v>8</v>
      </c>
      <c r="L7" s="19" t="s">
        <v>8</v>
      </c>
      <c r="M7" s="19" t="s">
        <v>9</v>
      </c>
      <c r="N7" s="18" t="s">
        <v>9</v>
      </c>
      <c r="O7" s="18" t="s">
        <v>8</v>
      </c>
      <c r="P7" s="18" t="s">
        <v>9</v>
      </c>
      <c r="Q7" s="18" t="s">
        <v>8</v>
      </c>
      <c r="R7" s="18" t="s">
        <v>8</v>
      </c>
      <c r="S7" s="18" t="s">
        <v>8</v>
      </c>
      <c r="T7" s="18" t="s">
        <v>8</v>
      </c>
      <c r="U7" s="18" t="s">
        <v>9</v>
      </c>
      <c r="V7" s="18" t="s">
        <v>8</v>
      </c>
      <c r="W7" s="18" t="s">
        <v>8</v>
      </c>
      <c r="X7" s="18" t="s">
        <v>8</v>
      </c>
      <c r="Y7" s="18" t="s">
        <v>9</v>
      </c>
      <c r="Z7" s="18" t="s">
        <v>0</v>
      </c>
      <c r="AA7" s="18" t="s">
        <v>0</v>
      </c>
      <c r="AB7" s="18" t="s">
        <v>8</v>
      </c>
      <c r="AC7" s="18" t="s">
        <v>8</v>
      </c>
      <c r="AD7" s="18" t="s">
        <v>8</v>
      </c>
      <c r="AE7" s="18" t="s">
        <v>8</v>
      </c>
      <c r="AF7" s="18" t="s">
        <v>8</v>
      </c>
      <c r="AG7" s="18" t="s">
        <v>8</v>
      </c>
      <c r="AH7" s="18" t="s">
        <v>0</v>
      </c>
      <c r="AI7" s="18" t="s">
        <v>8</v>
      </c>
      <c r="AJ7" s="5"/>
    </row>
    <row r="8" spans="1:36" s="8" customFormat="1" ht="22" customHeight="1" thickBot="1" x14ac:dyDescent="0.3">
      <c r="A8" s="6"/>
      <c r="B8" s="65" t="s">
        <v>18</v>
      </c>
      <c r="C8" s="66"/>
      <c r="D8" s="7" t="s">
        <v>17</v>
      </c>
      <c r="E8" s="67" t="s">
        <v>11</v>
      </c>
      <c r="F8" s="68"/>
      <c r="G8" s="13">
        <f>COUNTIF(E7:AI7,"H")</f>
        <v>22</v>
      </c>
      <c r="H8" s="67" t="s">
        <v>12</v>
      </c>
      <c r="I8" s="68"/>
      <c r="J8" s="13">
        <f>COUNTIF(E7:AI7,"T")</f>
        <v>5</v>
      </c>
      <c r="K8" s="67" t="s">
        <v>13</v>
      </c>
      <c r="L8" s="68"/>
      <c r="M8" s="13">
        <f>COUNTIF(E7:AI7,"A") + COUNTIF(E7:AI7,"I")</f>
        <v>4</v>
      </c>
      <c r="N8" s="67" t="s">
        <v>14</v>
      </c>
      <c r="O8" s="68"/>
      <c r="P8" s="13">
        <f>IF((G8+J8+M8)=0,0,(G8+J8)/(G8+J8+M8)*100)</f>
        <v>87.096774193548384</v>
      </c>
      <c r="Q8" s="67"/>
      <c r="R8" s="68"/>
      <c r="S8" s="13"/>
      <c r="T8" s="67"/>
      <c r="U8" s="68"/>
      <c r="V8" s="14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6"/>
    </row>
    <row r="9" spans="1:36" ht="22" customHeight="1" x14ac:dyDescent="0.35">
      <c r="A9" s="2"/>
      <c r="B9" s="72" t="s">
        <v>24</v>
      </c>
      <c r="C9" s="72"/>
      <c r="D9" s="72"/>
      <c r="E9" s="16" t="s">
        <v>8</v>
      </c>
      <c r="F9" s="16" t="s">
        <v>8</v>
      </c>
      <c r="G9" s="17" t="s">
        <v>8</v>
      </c>
      <c r="H9" s="17" t="s">
        <v>8</v>
      </c>
      <c r="I9" s="17" t="s">
        <v>0</v>
      </c>
      <c r="J9" s="17" t="s">
        <v>8</v>
      </c>
      <c r="K9" s="17" t="s">
        <v>9</v>
      </c>
      <c r="L9" s="19" t="s">
        <v>8</v>
      </c>
      <c r="M9" s="19" t="s">
        <v>9</v>
      </c>
      <c r="N9" s="18" t="s">
        <v>8</v>
      </c>
      <c r="O9" s="18" t="s">
        <v>8</v>
      </c>
      <c r="P9" s="18" t="s">
        <v>9</v>
      </c>
      <c r="Q9" s="18" t="s">
        <v>8</v>
      </c>
      <c r="R9" s="18" t="s">
        <v>8</v>
      </c>
      <c r="S9" s="18" t="s">
        <v>9</v>
      </c>
      <c r="T9" s="18" t="s">
        <v>9</v>
      </c>
      <c r="U9" s="18" t="s">
        <v>9</v>
      </c>
      <c r="V9" s="18" t="s">
        <v>0</v>
      </c>
      <c r="W9" s="18" t="s">
        <v>8</v>
      </c>
      <c r="X9" s="18" t="s">
        <v>8</v>
      </c>
      <c r="Y9" s="18" t="s">
        <v>9</v>
      </c>
      <c r="Z9" s="18" t="s">
        <v>0</v>
      </c>
      <c r="AA9" s="18" t="s">
        <v>0</v>
      </c>
      <c r="AB9" s="18" t="s">
        <v>8</v>
      </c>
      <c r="AC9" s="18" t="s">
        <v>8</v>
      </c>
      <c r="AD9" s="18" t="s">
        <v>8</v>
      </c>
      <c r="AE9" s="18" t="s">
        <v>8</v>
      </c>
      <c r="AF9" s="18" t="s">
        <v>8</v>
      </c>
      <c r="AG9" s="18" t="s">
        <v>8</v>
      </c>
      <c r="AH9" s="18" t="s">
        <v>0</v>
      </c>
      <c r="AI9" s="18" t="s">
        <v>8</v>
      </c>
      <c r="AJ9" s="2"/>
    </row>
    <row r="10" spans="1:36" s="8" customFormat="1" ht="22" customHeight="1" thickBot="1" x14ac:dyDescent="0.3">
      <c r="A10" s="6"/>
      <c r="B10" s="65" t="s">
        <v>18</v>
      </c>
      <c r="C10" s="66"/>
      <c r="D10" s="7" t="s">
        <v>17</v>
      </c>
      <c r="E10" s="67" t="s">
        <v>11</v>
      </c>
      <c r="F10" s="68"/>
      <c r="G10" s="13">
        <f>COUNTIF(E9:AI9,"H")</f>
        <v>19</v>
      </c>
      <c r="H10" s="67" t="s">
        <v>12</v>
      </c>
      <c r="I10" s="68"/>
      <c r="J10" s="13">
        <f>COUNTIF(E9:AI9,"T")</f>
        <v>7</v>
      </c>
      <c r="K10" s="67" t="s">
        <v>13</v>
      </c>
      <c r="L10" s="68"/>
      <c r="M10" s="13">
        <f>COUNTIF(E9:AI9,"A") + COUNTIF(E9:AI9,"I")</f>
        <v>5</v>
      </c>
      <c r="N10" s="67" t="s">
        <v>14</v>
      </c>
      <c r="O10" s="68"/>
      <c r="P10" s="13">
        <f>IF((G10+J10+M10)=0,0,(G10+J10)/(G10+J10+M10)*100)</f>
        <v>83.870967741935488</v>
      </c>
      <c r="Q10" s="67"/>
      <c r="R10" s="68"/>
      <c r="S10" s="13"/>
      <c r="T10" s="67"/>
      <c r="U10" s="68"/>
      <c r="V10" s="14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6"/>
    </row>
    <row r="11" spans="1:36" s="10" customFormat="1" ht="22" customHeight="1" x14ac:dyDescent="0.25">
      <c r="A11" s="9"/>
      <c r="B11" s="72" t="s">
        <v>25</v>
      </c>
      <c r="C11" s="72"/>
      <c r="D11" s="72"/>
      <c r="E11" s="16" t="s">
        <v>8</v>
      </c>
      <c r="F11" s="16" t="s">
        <v>0</v>
      </c>
      <c r="G11" s="17" t="s">
        <v>8</v>
      </c>
      <c r="H11" s="17" t="s">
        <v>8</v>
      </c>
      <c r="I11" s="17" t="s">
        <v>8</v>
      </c>
      <c r="J11" s="17" t="s">
        <v>8</v>
      </c>
      <c r="K11" s="17" t="s">
        <v>8</v>
      </c>
      <c r="L11" s="19" t="s">
        <v>8</v>
      </c>
      <c r="M11" s="19" t="s">
        <v>8</v>
      </c>
      <c r="N11" s="18" t="s">
        <v>8</v>
      </c>
      <c r="O11" s="18" t="s">
        <v>8</v>
      </c>
      <c r="P11" s="18" t="s">
        <v>8</v>
      </c>
      <c r="Q11" s="18" t="s">
        <v>8</v>
      </c>
      <c r="R11" s="18" t="s">
        <v>8</v>
      </c>
      <c r="S11" s="18" t="s">
        <v>8</v>
      </c>
      <c r="T11" s="18" t="s">
        <v>8</v>
      </c>
      <c r="U11" s="18" t="s">
        <v>9</v>
      </c>
      <c r="V11" s="18" t="s">
        <v>8</v>
      </c>
      <c r="W11" s="18" t="s">
        <v>8</v>
      </c>
      <c r="X11" s="18" t="s">
        <v>8</v>
      </c>
      <c r="Y11" s="18" t="s">
        <v>8</v>
      </c>
      <c r="Z11" s="18" t="s">
        <v>8</v>
      </c>
      <c r="AA11" s="18" t="s">
        <v>8</v>
      </c>
      <c r="AB11" s="18" t="s">
        <v>8</v>
      </c>
      <c r="AC11" s="18" t="s">
        <v>8</v>
      </c>
      <c r="AD11" s="18" t="s">
        <v>8</v>
      </c>
      <c r="AE11" s="18" t="s">
        <v>8</v>
      </c>
      <c r="AF11" s="18" t="s">
        <v>8</v>
      </c>
      <c r="AG11" s="18" t="s">
        <v>8</v>
      </c>
      <c r="AH11" s="18" t="s">
        <v>0</v>
      </c>
      <c r="AI11" s="18" t="s">
        <v>8</v>
      </c>
      <c r="AJ11" s="9"/>
    </row>
    <row r="12" spans="1:36" s="8" customFormat="1" ht="22" customHeight="1" thickBot="1" x14ac:dyDescent="0.3">
      <c r="A12" s="6"/>
      <c r="B12" s="65" t="s">
        <v>18</v>
      </c>
      <c r="C12" s="66"/>
      <c r="D12" s="7" t="s">
        <v>17</v>
      </c>
      <c r="E12" s="67" t="s">
        <v>11</v>
      </c>
      <c r="F12" s="68"/>
      <c r="G12" s="13">
        <f>COUNTIF(E11:AI11,"H")</f>
        <v>28</v>
      </c>
      <c r="H12" s="67" t="s">
        <v>12</v>
      </c>
      <c r="I12" s="68"/>
      <c r="J12" s="13">
        <f>COUNTIF(E11:AI11,"T")</f>
        <v>1</v>
      </c>
      <c r="K12" s="67" t="s">
        <v>13</v>
      </c>
      <c r="L12" s="68"/>
      <c r="M12" s="13">
        <f>COUNTIF(E11:AI11,"A") + COUNTIF(E11:AI11,"I")</f>
        <v>2</v>
      </c>
      <c r="N12" s="67" t="s">
        <v>14</v>
      </c>
      <c r="O12" s="68"/>
      <c r="P12" s="13">
        <f>IF((G12+J12+M12)=0,0,(G12+J12)/(G12+J12+M12)*100)</f>
        <v>93.548387096774192</v>
      </c>
      <c r="Q12" s="67"/>
      <c r="R12" s="68"/>
      <c r="S12" s="13"/>
      <c r="T12" s="67"/>
      <c r="U12" s="68"/>
      <c r="V12" s="14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6"/>
    </row>
    <row r="13" spans="1:36" s="10" customFormat="1" ht="22" customHeight="1" x14ac:dyDescent="0.25">
      <c r="A13" s="9"/>
      <c r="B13" s="72" t="s">
        <v>26</v>
      </c>
      <c r="C13" s="72"/>
      <c r="D13" s="72"/>
      <c r="E13" s="16" t="s">
        <v>8</v>
      </c>
      <c r="F13" s="16" t="s">
        <v>8</v>
      </c>
      <c r="G13" s="17" t="s">
        <v>8</v>
      </c>
      <c r="H13" s="17" t="s">
        <v>8</v>
      </c>
      <c r="I13" s="17" t="s">
        <v>8</v>
      </c>
      <c r="J13" s="17" t="s">
        <v>0</v>
      </c>
      <c r="K13" s="17" t="s">
        <v>8</v>
      </c>
      <c r="L13" s="19" t="s">
        <v>8</v>
      </c>
      <c r="M13" s="19" t="s">
        <v>8</v>
      </c>
      <c r="N13" s="18" t="s">
        <v>8</v>
      </c>
      <c r="O13" s="18" t="s">
        <v>8</v>
      </c>
      <c r="P13" s="18" t="s">
        <v>9</v>
      </c>
      <c r="Q13" s="18" t="s">
        <v>8</v>
      </c>
      <c r="R13" s="18" t="s">
        <v>8</v>
      </c>
      <c r="S13" s="18" t="s">
        <v>8</v>
      </c>
      <c r="T13" s="18" t="s">
        <v>0</v>
      </c>
      <c r="U13" s="18" t="s">
        <v>9</v>
      </c>
      <c r="V13" s="18" t="s">
        <v>8</v>
      </c>
      <c r="W13" s="18" t="s">
        <v>8</v>
      </c>
      <c r="X13" s="18" t="s">
        <v>0</v>
      </c>
      <c r="Y13" s="18" t="s">
        <v>9</v>
      </c>
      <c r="Z13" s="18" t="s">
        <v>8</v>
      </c>
      <c r="AA13" s="18" t="s">
        <v>8</v>
      </c>
      <c r="AB13" s="18" t="s">
        <v>8</v>
      </c>
      <c r="AC13" s="18" t="s">
        <v>8</v>
      </c>
      <c r="AD13" s="18" t="s">
        <v>8</v>
      </c>
      <c r="AE13" s="18" t="s">
        <v>8</v>
      </c>
      <c r="AF13" s="18" t="s">
        <v>8</v>
      </c>
      <c r="AG13" s="18" t="s">
        <v>8</v>
      </c>
      <c r="AH13" s="18" t="s">
        <v>0</v>
      </c>
      <c r="AI13" s="18" t="s">
        <v>8</v>
      </c>
      <c r="AJ13" s="9"/>
    </row>
    <row r="14" spans="1:36" s="8" customFormat="1" ht="22" customHeight="1" thickBot="1" x14ac:dyDescent="0.3">
      <c r="A14" s="6"/>
      <c r="B14" s="65" t="s">
        <v>18</v>
      </c>
      <c r="C14" s="66"/>
      <c r="D14" s="7" t="s">
        <v>17</v>
      </c>
      <c r="E14" s="67" t="s">
        <v>11</v>
      </c>
      <c r="F14" s="68"/>
      <c r="G14" s="13">
        <f>COUNTIF(E13:AI13,"H")</f>
        <v>24</v>
      </c>
      <c r="H14" s="67" t="s">
        <v>12</v>
      </c>
      <c r="I14" s="68"/>
      <c r="J14" s="13">
        <f>COUNTIF(E13:AI13,"T")</f>
        <v>3</v>
      </c>
      <c r="K14" s="67" t="s">
        <v>13</v>
      </c>
      <c r="L14" s="68"/>
      <c r="M14" s="13">
        <f>COUNTIF(E13:AI13,"A") + COUNTIF(E13:AI13,"I")</f>
        <v>4</v>
      </c>
      <c r="N14" s="67" t="s">
        <v>14</v>
      </c>
      <c r="O14" s="68"/>
      <c r="P14" s="13">
        <f>IF((G14+J14+M14)=0,0,(G14+J14)/(G14+J14+M14)*100)</f>
        <v>87.096774193548384</v>
      </c>
      <c r="Q14" s="67"/>
      <c r="R14" s="68"/>
      <c r="S14" s="13"/>
      <c r="T14" s="67"/>
      <c r="U14" s="68"/>
      <c r="V14" s="14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6"/>
    </row>
    <row r="15" spans="1:36" s="10" customFormat="1" ht="22" customHeight="1" x14ac:dyDescent="0.25">
      <c r="A15" s="9"/>
      <c r="B15" s="72" t="s">
        <v>27</v>
      </c>
      <c r="C15" s="72"/>
      <c r="D15" s="72"/>
      <c r="E15" s="16" t="s">
        <v>8</v>
      </c>
      <c r="F15" s="16" t="s">
        <v>0</v>
      </c>
      <c r="G15" s="17" t="s">
        <v>8</v>
      </c>
      <c r="H15" s="17" t="s">
        <v>8</v>
      </c>
      <c r="I15" s="17" t="s">
        <v>8</v>
      </c>
      <c r="J15" s="17" t="s">
        <v>8</v>
      </c>
      <c r="K15" s="17" t="s">
        <v>8</v>
      </c>
      <c r="L15" s="19" t="s">
        <v>8</v>
      </c>
      <c r="M15" s="19" t="s">
        <v>9</v>
      </c>
      <c r="N15" s="18" t="s">
        <v>9</v>
      </c>
      <c r="O15" s="18" t="s">
        <v>8</v>
      </c>
      <c r="P15" s="18" t="s">
        <v>9</v>
      </c>
      <c r="Q15" s="18" t="s">
        <v>8</v>
      </c>
      <c r="R15" s="18" t="s">
        <v>8</v>
      </c>
      <c r="S15" s="18" t="s">
        <v>8</v>
      </c>
      <c r="T15" s="18" t="s">
        <v>8</v>
      </c>
      <c r="U15" s="18" t="s">
        <v>9</v>
      </c>
      <c r="V15" s="18" t="s">
        <v>8</v>
      </c>
      <c r="W15" s="18" t="s">
        <v>8</v>
      </c>
      <c r="X15" s="18" t="s">
        <v>8</v>
      </c>
      <c r="Y15" s="18" t="s">
        <v>9</v>
      </c>
      <c r="Z15" s="18" t="s">
        <v>0</v>
      </c>
      <c r="AA15" s="18" t="s">
        <v>0</v>
      </c>
      <c r="AB15" s="18" t="s">
        <v>8</v>
      </c>
      <c r="AC15" s="18" t="s">
        <v>8</v>
      </c>
      <c r="AD15" s="18" t="s">
        <v>8</v>
      </c>
      <c r="AE15" s="18" t="s">
        <v>8</v>
      </c>
      <c r="AF15" s="18" t="s">
        <v>8</v>
      </c>
      <c r="AG15" s="18" t="s">
        <v>8</v>
      </c>
      <c r="AH15" s="18" t="s">
        <v>0</v>
      </c>
      <c r="AI15" s="18" t="s">
        <v>8</v>
      </c>
      <c r="AJ15" s="9"/>
    </row>
    <row r="16" spans="1:36" s="8" customFormat="1" ht="22" customHeight="1" thickBot="1" x14ac:dyDescent="0.3">
      <c r="A16" s="6"/>
      <c r="B16" s="65" t="s">
        <v>18</v>
      </c>
      <c r="C16" s="66"/>
      <c r="D16" s="7" t="s">
        <v>17</v>
      </c>
      <c r="E16" s="67" t="s">
        <v>11</v>
      </c>
      <c r="F16" s="68"/>
      <c r="G16" s="13">
        <f>COUNTIF(E15:AI15,"H")</f>
        <v>22</v>
      </c>
      <c r="H16" s="67" t="s">
        <v>12</v>
      </c>
      <c r="I16" s="68"/>
      <c r="J16" s="13">
        <f>COUNTIF(E15:AI15,"T")</f>
        <v>5</v>
      </c>
      <c r="K16" s="67" t="s">
        <v>13</v>
      </c>
      <c r="L16" s="68"/>
      <c r="M16" s="13">
        <f>COUNTIF(E15:AI15,"A") + COUNTIF(E15:AI15,"I")</f>
        <v>4</v>
      </c>
      <c r="N16" s="67" t="s">
        <v>14</v>
      </c>
      <c r="O16" s="68"/>
      <c r="P16" s="13">
        <f>IF((G16+J16+M16)=0,0,(G16+J16)/(G16+J16+M16)*100)</f>
        <v>87.096774193548384</v>
      </c>
      <c r="Q16" s="67"/>
      <c r="R16" s="68"/>
      <c r="S16" s="13"/>
      <c r="T16" s="67"/>
      <c r="U16" s="68"/>
      <c r="V16" s="14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6"/>
    </row>
    <row r="17" spans="1:36" s="10" customFormat="1" ht="22" customHeight="1" x14ac:dyDescent="0.25">
      <c r="A17" s="9"/>
      <c r="B17" s="72" t="s">
        <v>28</v>
      </c>
      <c r="C17" s="72"/>
      <c r="D17" s="72"/>
      <c r="E17" s="16" t="s">
        <v>8</v>
      </c>
      <c r="F17" s="16" t="s">
        <v>0</v>
      </c>
      <c r="G17" s="17" t="s">
        <v>8</v>
      </c>
      <c r="H17" s="17" t="s">
        <v>8</v>
      </c>
      <c r="I17" s="17" t="s">
        <v>8</v>
      </c>
      <c r="J17" s="17" t="s">
        <v>8</v>
      </c>
      <c r="K17" s="17" t="s">
        <v>8</v>
      </c>
      <c r="L17" s="19" t="s">
        <v>8</v>
      </c>
      <c r="M17" s="19" t="s">
        <v>9</v>
      </c>
      <c r="N17" s="18" t="s">
        <v>9</v>
      </c>
      <c r="O17" s="18" t="s">
        <v>8</v>
      </c>
      <c r="P17" s="18" t="s">
        <v>9</v>
      </c>
      <c r="Q17" s="18" t="s">
        <v>8</v>
      </c>
      <c r="R17" s="18" t="s">
        <v>8</v>
      </c>
      <c r="S17" s="18" t="s">
        <v>8</v>
      </c>
      <c r="T17" s="18" t="s">
        <v>8</v>
      </c>
      <c r="U17" s="18" t="s">
        <v>9</v>
      </c>
      <c r="V17" s="18" t="s">
        <v>8</v>
      </c>
      <c r="W17" s="18" t="s">
        <v>8</v>
      </c>
      <c r="X17" s="18" t="s">
        <v>8</v>
      </c>
      <c r="Y17" s="18" t="s">
        <v>9</v>
      </c>
      <c r="Z17" s="18" t="s">
        <v>0</v>
      </c>
      <c r="AA17" s="18" t="s">
        <v>0</v>
      </c>
      <c r="AB17" s="18" t="s">
        <v>8</v>
      </c>
      <c r="AC17" s="18" t="s">
        <v>8</v>
      </c>
      <c r="AD17" s="18" t="s">
        <v>8</v>
      </c>
      <c r="AE17" s="18" t="s">
        <v>8</v>
      </c>
      <c r="AF17" s="18" t="s">
        <v>8</v>
      </c>
      <c r="AG17" s="18" t="s">
        <v>8</v>
      </c>
      <c r="AH17" s="18" t="s">
        <v>0</v>
      </c>
      <c r="AI17" s="18" t="s">
        <v>8</v>
      </c>
      <c r="AJ17" s="9"/>
    </row>
    <row r="18" spans="1:36" s="8" customFormat="1" ht="22" customHeight="1" thickBot="1" x14ac:dyDescent="0.3">
      <c r="A18" s="6"/>
      <c r="B18" s="65" t="s">
        <v>18</v>
      </c>
      <c r="C18" s="66"/>
      <c r="D18" s="7" t="s">
        <v>17</v>
      </c>
      <c r="E18" s="67" t="s">
        <v>11</v>
      </c>
      <c r="F18" s="68"/>
      <c r="G18" s="13">
        <f>COUNTIF(E17:AI17,"H")</f>
        <v>22</v>
      </c>
      <c r="H18" s="67" t="s">
        <v>12</v>
      </c>
      <c r="I18" s="68"/>
      <c r="J18" s="13">
        <f>COUNTIF(E17:AI17,"T")</f>
        <v>5</v>
      </c>
      <c r="K18" s="67" t="s">
        <v>13</v>
      </c>
      <c r="L18" s="68"/>
      <c r="M18" s="13">
        <f>COUNTIF(E17:AI17,"A") + COUNTIF(E17:AI17,"I")</f>
        <v>4</v>
      </c>
      <c r="N18" s="67" t="s">
        <v>14</v>
      </c>
      <c r="O18" s="68"/>
      <c r="P18" s="13">
        <f>IF((G18+J18+M18)=0,0,(G18+J18)/(G18+J18+M18)*100)</f>
        <v>87.096774193548384</v>
      </c>
      <c r="Q18" s="67"/>
      <c r="R18" s="68"/>
      <c r="S18" s="13"/>
      <c r="T18" s="67"/>
      <c r="U18" s="68"/>
      <c r="V18" s="14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6"/>
    </row>
    <row r="19" spans="1:36" s="10" customFormat="1" ht="22" customHeight="1" x14ac:dyDescent="0.25">
      <c r="A19" s="9"/>
      <c r="B19" s="72" t="s">
        <v>29</v>
      </c>
      <c r="C19" s="72"/>
      <c r="D19" s="72"/>
      <c r="E19" s="16" t="s">
        <v>8</v>
      </c>
      <c r="F19" s="16" t="s">
        <v>0</v>
      </c>
      <c r="G19" s="17" t="s">
        <v>8</v>
      </c>
      <c r="H19" s="17" t="s">
        <v>8</v>
      </c>
      <c r="I19" s="17" t="s">
        <v>8</v>
      </c>
      <c r="J19" s="17" t="s">
        <v>8</v>
      </c>
      <c r="K19" s="17" t="s">
        <v>8</v>
      </c>
      <c r="L19" s="19" t="s">
        <v>8</v>
      </c>
      <c r="M19" s="19" t="s">
        <v>9</v>
      </c>
      <c r="N19" s="18" t="s">
        <v>9</v>
      </c>
      <c r="O19" s="18" t="s">
        <v>8</v>
      </c>
      <c r="P19" s="18" t="s">
        <v>9</v>
      </c>
      <c r="Q19" s="18" t="s">
        <v>8</v>
      </c>
      <c r="R19" s="18" t="s">
        <v>8</v>
      </c>
      <c r="S19" s="18" t="s">
        <v>8</v>
      </c>
      <c r="T19" s="18" t="s">
        <v>8</v>
      </c>
      <c r="U19" s="18" t="s">
        <v>9</v>
      </c>
      <c r="V19" s="18" t="s">
        <v>8</v>
      </c>
      <c r="W19" s="18" t="s">
        <v>8</v>
      </c>
      <c r="X19" s="18" t="s">
        <v>8</v>
      </c>
      <c r="Y19" s="18" t="s">
        <v>9</v>
      </c>
      <c r="Z19" s="18" t="s">
        <v>0</v>
      </c>
      <c r="AA19" s="18" t="s">
        <v>0</v>
      </c>
      <c r="AB19" s="18" t="s">
        <v>8</v>
      </c>
      <c r="AC19" s="18" t="s">
        <v>8</v>
      </c>
      <c r="AD19" s="18" t="s">
        <v>8</v>
      </c>
      <c r="AE19" s="18" t="s">
        <v>8</v>
      </c>
      <c r="AF19" s="18" t="s">
        <v>8</v>
      </c>
      <c r="AG19" s="18" t="s">
        <v>8</v>
      </c>
      <c r="AH19" s="18" t="s">
        <v>0</v>
      </c>
      <c r="AI19" s="18" t="s">
        <v>8</v>
      </c>
      <c r="AJ19" s="9"/>
    </row>
    <row r="20" spans="1:36" s="8" customFormat="1" ht="22" customHeight="1" thickBot="1" x14ac:dyDescent="0.3">
      <c r="A20" s="6"/>
      <c r="B20" s="65" t="s">
        <v>18</v>
      </c>
      <c r="C20" s="66"/>
      <c r="D20" s="7" t="s">
        <v>17</v>
      </c>
      <c r="E20" s="67" t="s">
        <v>11</v>
      </c>
      <c r="F20" s="68"/>
      <c r="G20" s="13">
        <f>COUNTIF(E19:AI19,"H")</f>
        <v>22</v>
      </c>
      <c r="H20" s="67" t="s">
        <v>12</v>
      </c>
      <c r="I20" s="68"/>
      <c r="J20" s="13">
        <f>COUNTIF(E19:AI19,"T")</f>
        <v>5</v>
      </c>
      <c r="K20" s="67" t="s">
        <v>13</v>
      </c>
      <c r="L20" s="68"/>
      <c r="M20" s="13">
        <f>COUNTIF(E19:AI19,"A") + COUNTIF(E19:AI19,"I")</f>
        <v>4</v>
      </c>
      <c r="N20" s="67" t="s">
        <v>14</v>
      </c>
      <c r="O20" s="68"/>
      <c r="P20" s="13">
        <f>IF((G20+J20+M20)=0,0,(G20+J20)/(G20+J20+M20)*100)</f>
        <v>87.096774193548384</v>
      </c>
      <c r="Q20" s="67"/>
      <c r="R20" s="68"/>
      <c r="S20" s="13"/>
      <c r="T20" s="67"/>
      <c r="U20" s="68"/>
      <c r="V20" s="14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6"/>
    </row>
    <row r="21" spans="1:36" ht="22" customHeight="1" x14ac:dyDescent="0.35">
      <c r="A21" s="2"/>
      <c r="B21" s="72" t="s">
        <v>30</v>
      </c>
      <c r="C21" s="72"/>
      <c r="D21" s="72"/>
      <c r="E21" s="16" t="s">
        <v>8</v>
      </c>
      <c r="F21" s="16" t="s">
        <v>0</v>
      </c>
      <c r="G21" s="17" t="s">
        <v>8</v>
      </c>
      <c r="H21" s="17" t="s">
        <v>8</v>
      </c>
      <c r="I21" s="17" t="s">
        <v>8</v>
      </c>
      <c r="J21" s="17" t="s">
        <v>8</v>
      </c>
      <c r="K21" s="17" t="s">
        <v>8</v>
      </c>
      <c r="L21" s="19" t="s">
        <v>8</v>
      </c>
      <c r="M21" s="19" t="s">
        <v>9</v>
      </c>
      <c r="N21" s="18" t="s">
        <v>9</v>
      </c>
      <c r="O21" s="18" t="s">
        <v>8</v>
      </c>
      <c r="P21" s="18" t="s">
        <v>9</v>
      </c>
      <c r="Q21" s="18" t="s">
        <v>8</v>
      </c>
      <c r="R21" s="18" t="s">
        <v>8</v>
      </c>
      <c r="S21" s="18" t="s">
        <v>8</v>
      </c>
      <c r="T21" s="18" t="s">
        <v>8</v>
      </c>
      <c r="U21" s="18" t="s">
        <v>9</v>
      </c>
      <c r="V21" s="18" t="s">
        <v>8</v>
      </c>
      <c r="W21" s="18" t="s">
        <v>8</v>
      </c>
      <c r="X21" s="18" t="s">
        <v>8</v>
      </c>
      <c r="Y21" s="18" t="s">
        <v>9</v>
      </c>
      <c r="Z21" s="18" t="s">
        <v>0</v>
      </c>
      <c r="AA21" s="18" t="s">
        <v>0</v>
      </c>
      <c r="AB21" s="18" t="s">
        <v>8</v>
      </c>
      <c r="AC21" s="18" t="s">
        <v>8</v>
      </c>
      <c r="AD21" s="18" t="s">
        <v>8</v>
      </c>
      <c r="AE21" s="18" t="s">
        <v>8</v>
      </c>
      <c r="AF21" s="18" t="s">
        <v>8</v>
      </c>
      <c r="AG21" s="18" t="s">
        <v>8</v>
      </c>
      <c r="AH21" s="18" t="s">
        <v>0</v>
      </c>
      <c r="AI21" s="18" t="s">
        <v>8</v>
      </c>
      <c r="AJ21" s="2"/>
    </row>
    <row r="22" spans="1:36" s="8" customFormat="1" ht="22" customHeight="1" thickBot="1" x14ac:dyDescent="0.3">
      <c r="A22" s="6"/>
      <c r="B22" s="65" t="s">
        <v>18</v>
      </c>
      <c r="C22" s="66"/>
      <c r="D22" s="7" t="s">
        <v>17</v>
      </c>
      <c r="E22" s="67" t="s">
        <v>11</v>
      </c>
      <c r="F22" s="68"/>
      <c r="G22" s="13">
        <f>COUNTIF(E21:AI21,"H")</f>
        <v>22</v>
      </c>
      <c r="H22" s="67" t="s">
        <v>12</v>
      </c>
      <c r="I22" s="68"/>
      <c r="J22" s="13">
        <f>COUNTIF(E21:AI21,"T")</f>
        <v>5</v>
      </c>
      <c r="K22" s="67" t="s">
        <v>13</v>
      </c>
      <c r="L22" s="68"/>
      <c r="M22" s="13">
        <f>COUNTIF(E21:AI21,"A") + COUNTIF(E21:AI21,"I")</f>
        <v>4</v>
      </c>
      <c r="N22" s="67" t="s">
        <v>14</v>
      </c>
      <c r="O22" s="68"/>
      <c r="P22" s="13">
        <f>IF((G22+J22+M22)=0,0,(G22+J22)/(G22+J22+M22)*100)</f>
        <v>87.096774193548384</v>
      </c>
      <c r="Q22" s="67"/>
      <c r="R22" s="68"/>
      <c r="S22" s="13"/>
      <c r="T22" s="67"/>
      <c r="U22" s="68"/>
      <c r="V22" s="14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6"/>
    </row>
    <row r="23" spans="1:36" ht="22" customHeight="1" x14ac:dyDescent="0.35">
      <c r="A23" s="2"/>
      <c r="B23" s="72" t="s">
        <v>31</v>
      </c>
      <c r="C23" s="72"/>
      <c r="D23" s="72"/>
      <c r="E23" s="16" t="s">
        <v>8</v>
      </c>
      <c r="F23" s="16" t="s">
        <v>0</v>
      </c>
      <c r="G23" s="17" t="s">
        <v>8</v>
      </c>
      <c r="H23" s="17" t="s">
        <v>8</v>
      </c>
      <c r="I23" s="17" t="s">
        <v>8</v>
      </c>
      <c r="J23" s="17" t="s">
        <v>8</v>
      </c>
      <c r="K23" s="17" t="s">
        <v>8</v>
      </c>
      <c r="L23" s="19" t="s">
        <v>8</v>
      </c>
      <c r="M23" s="19" t="s">
        <v>9</v>
      </c>
      <c r="N23" s="18" t="s">
        <v>9</v>
      </c>
      <c r="O23" s="18" t="s">
        <v>8</v>
      </c>
      <c r="P23" s="18" t="s">
        <v>9</v>
      </c>
      <c r="Q23" s="18" t="s">
        <v>8</v>
      </c>
      <c r="R23" s="18" t="s">
        <v>8</v>
      </c>
      <c r="S23" s="18" t="s">
        <v>8</v>
      </c>
      <c r="T23" s="18" t="s">
        <v>8</v>
      </c>
      <c r="U23" s="18" t="s">
        <v>9</v>
      </c>
      <c r="V23" s="18" t="s">
        <v>8</v>
      </c>
      <c r="W23" s="18" t="s">
        <v>8</v>
      </c>
      <c r="X23" s="18" t="s">
        <v>8</v>
      </c>
      <c r="Y23" s="18" t="s">
        <v>9</v>
      </c>
      <c r="Z23" s="18" t="s">
        <v>0</v>
      </c>
      <c r="AA23" s="18" t="s">
        <v>0</v>
      </c>
      <c r="AB23" s="18" t="s">
        <v>8</v>
      </c>
      <c r="AC23" s="18" t="s">
        <v>8</v>
      </c>
      <c r="AD23" s="18" t="s">
        <v>8</v>
      </c>
      <c r="AE23" s="18" t="s">
        <v>8</v>
      </c>
      <c r="AF23" s="18" t="s">
        <v>8</v>
      </c>
      <c r="AG23" s="18" t="s">
        <v>8</v>
      </c>
      <c r="AH23" s="18" t="s">
        <v>0</v>
      </c>
      <c r="AI23" s="18" t="s">
        <v>8</v>
      </c>
      <c r="AJ23" s="2"/>
    </row>
    <row r="24" spans="1:36" s="8" customFormat="1" ht="22" customHeight="1" thickBot="1" x14ac:dyDescent="0.3">
      <c r="A24" s="6"/>
      <c r="B24" s="65" t="s">
        <v>18</v>
      </c>
      <c r="C24" s="66"/>
      <c r="D24" s="7" t="s">
        <v>17</v>
      </c>
      <c r="E24" s="67" t="s">
        <v>11</v>
      </c>
      <c r="F24" s="68"/>
      <c r="G24" s="13">
        <f>COUNTIF(E23:AI23,"H")</f>
        <v>22</v>
      </c>
      <c r="H24" s="67" t="s">
        <v>12</v>
      </c>
      <c r="I24" s="68"/>
      <c r="J24" s="13">
        <f>COUNTIF(E23:AI23,"T")</f>
        <v>5</v>
      </c>
      <c r="K24" s="67" t="s">
        <v>13</v>
      </c>
      <c r="L24" s="68"/>
      <c r="M24" s="13">
        <f>COUNTIF(E23:AI23,"A") + COUNTIF(E23:AI23,"I")</f>
        <v>4</v>
      </c>
      <c r="N24" s="67" t="s">
        <v>14</v>
      </c>
      <c r="O24" s="68"/>
      <c r="P24" s="13">
        <f>IF((G24+J24+M24)=0,0,(G24+J24)/(G24+J24+M24)*100)</f>
        <v>87.096774193548384</v>
      </c>
      <c r="Q24" s="67"/>
      <c r="R24" s="68"/>
      <c r="S24" s="13"/>
      <c r="T24" s="67"/>
      <c r="U24" s="68"/>
      <c r="V24" s="14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6"/>
    </row>
    <row r="25" spans="1:36" s="10" customFormat="1" ht="22" customHeight="1" x14ac:dyDescent="0.25">
      <c r="A25" s="9"/>
      <c r="B25" s="72" t="s">
        <v>32</v>
      </c>
      <c r="C25" s="72"/>
      <c r="D25" s="72"/>
      <c r="E25" s="16" t="s">
        <v>8</v>
      </c>
      <c r="F25" s="16" t="s">
        <v>0</v>
      </c>
      <c r="G25" s="17" t="s">
        <v>8</v>
      </c>
      <c r="H25" s="17" t="s">
        <v>8</v>
      </c>
      <c r="I25" s="17" t="s">
        <v>8</v>
      </c>
      <c r="J25" s="17" t="s">
        <v>8</v>
      </c>
      <c r="K25" s="17" t="s">
        <v>8</v>
      </c>
      <c r="L25" s="19" t="s">
        <v>8</v>
      </c>
      <c r="M25" s="19" t="s">
        <v>9</v>
      </c>
      <c r="N25" s="18" t="s">
        <v>9</v>
      </c>
      <c r="O25" s="18" t="s">
        <v>8</v>
      </c>
      <c r="P25" s="18" t="s">
        <v>9</v>
      </c>
      <c r="Q25" s="18" t="s">
        <v>8</v>
      </c>
      <c r="R25" s="18" t="s">
        <v>8</v>
      </c>
      <c r="S25" s="18" t="s">
        <v>8</v>
      </c>
      <c r="T25" s="18" t="s">
        <v>8</v>
      </c>
      <c r="U25" s="18" t="s">
        <v>9</v>
      </c>
      <c r="V25" s="18" t="s">
        <v>8</v>
      </c>
      <c r="W25" s="18" t="s">
        <v>8</v>
      </c>
      <c r="X25" s="18" t="s">
        <v>8</v>
      </c>
      <c r="Y25" s="18" t="s">
        <v>9</v>
      </c>
      <c r="Z25" s="18" t="s">
        <v>0</v>
      </c>
      <c r="AA25" s="18" t="s">
        <v>0</v>
      </c>
      <c r="AB25" s="18" t="s">
        <v>8</v>
      </c>
      <c r="AC25" s="18" t="s">
        <v>8</v>
      </c>
      <c r="AD25" s="18" t="s">
        <v>8</v>
      </c>
      <c r="AE25" s="18" t="s">
        <v>8</v>
      </c>
      <c r="AF25" s="18" t="s">
        <v>8</v>
      </c>
      <c r="AG25" s="18" t="s">
        <v>8</v>
      </c>
      <c r="AH25" s="18" t="s">
        <v>0</v>
      </c>
      <c r="AI25" s="18" t="s">
        <v>8</v>
      </c>
      <c r="AJ25" s="9"/>
    </row>
    <row r="26" spans="1:36" s="8" customFormat="1" ht="22" customHeight="1" thickBot="1" x14ac:dyDescent="0.3">
      <c r="A26" s="6"/>
      <c r="B26" s="65" t="s">
        <v>18</v>
      </c>
      <c r="C26" s="66"/>
      <c r="D26" s="7" t="s">
        <v>17</v>
      </c>
      <c r="E26" s="67" t="s">
        <v>11</v>
      </c>
      <c r="F26" s="68"/>
      <c r="G26" s="13">
        <f>COUNTIF(E25:AI25,"H")</f>
        <v>22</v>
      </c>
      <c r="H26" s="67" t="s">
        <v>12</v>
      </c>
      <c r="I26" s="68"/>
      <c r="J26" s="13">
        <f>COUNTIF(E25:AI25,"T")</f>
        <v>5</v>
      </c>
      <c r="K26" s="67" t="s">
        <v>13</v>
      </c>
      <c r="L26" s="68"/>
      <c r="M26" s="13">
        <f>COUNTIF(E25:AI25,"A") + COUNTIF(E25:AI25,"I")</f>
        <v>4</v>
      </c>
      <c r="N26" s="67" t="s">
        <v>14</v>
      </c>
      <c r="O26" s="68"/>
      <c r="P26" s="13">
        <f>IF((G26+J26+M26)=0,0,(G26+J26)/(G26+J26+M26)*100)</f>
        <v>87.096774193548384</v>
      </c>
      <c r="Q26" s="67"/>
      <c r="R26" s="68"/>
      <c r="S26" s="13"/>
      <c r="T26" s="67"/>
      <c r="U26" s="68"/>
      <c r="V26" s="14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6"/>
    </row>
    <row r="27" spans="1:36" ht="22" customHeight="1" x14ac:dyDescent="0.35">
      <c r="A27" s="2"/>
      <c r="B27" s="72" t="s">
        <v>33</v>
      </c>
      <c r="C27" s="72"/>
      <c r="D27" s="72"/>
      <c r="E27" s="16" t="s">
        <v>8</v>
      </c>
      <c r="F27" s="16" t="s">
        <v>0</v>
      </c>
      <c r="G27" s="17" t="s">
        <v>8</v>
      </c>
      <c r="H27" s="17" t="s">
        <v>8</v>
      </c>
      <c r="I27" s="17" t="s">
        <v>8</v>
      </c>
      <c r="J27" s="17" t="s">
        <v>8</v>
      </c>
      <c r="K27" s="17" t="s">
        <v>8</v>
      </c>
      <c r="L27" s="19" t="s">
        <v>8</v>
      </c>
      <c r="M27" s="19" t="s">
        <v>9</v>
      </c>
      <c r="N27" s="18" t="s">
        <v>9</v>
      </c>
      <c r="O27" s="18" t="s">
        <v>8</v>
      </c>
      <c r="P27" s="18" t="s">
        <v>9</v>
      </c>
      <c r="Q27" s="18" t="s">
        <v>8</v>
      </c>
      <c r="R27" s="18" t="s">
        <v>8</v>
      </c>
      <c r="S27" s="18" t="s">
        <v>8</v>
      </c>
      <c r="T27" s="18" t="s">
        <v>8</v>
      </c>
      <c r="U27" s="18" t="s">
        <v>9</v>
      </c>
      <c r="V27" s="18" t="s">
        <v>8</v>
      </c>
      <c r="W27" s="18" t="s">
        <v>8</v>
      </c>
      <c r="X27" s="18" t="s">
        <v>8</v>
      </c>
      <c r="Y27" s="18" t="s">
        <v>9</v>
      </c>
      <c r="Z27" s="18" t="s">
        <v>0</v>
      </c>
      <c r="AA27" s="18" t="s">
        <v>0</v>
      </c>
      <c r="AB27" s="18" t="s">
        <v>8</v>
      </c>
      <c r="AC27" s="18" t="s">
        <v>8</v>
      </c>
      <c r="AD27" s="18" t="s">
        <v>8</v>
      </c>
      <c r="AE27" s="18" t="s">
        <v>8</v>
      </c>
      <c r="AF27" s="18" t="s">
        <v>8</v>
      </c>
      <c r="AG27" s="18" t="s">
        <v>8</v>
      </c>
      <c r="AH27" s="18" t="s">
        <v>0</v>
      </c>
      <c r="AI27" s="18" t="s">
        <v>8</v>
      </c>
      <c r="AJ27" s="2"/>
    </row>
    <row r="28" spans="1:36" s="8" customFormat="1" ht="22" customHeight="1" thickBot="1" x14ac:dyDescent="0.3">
      <c r="A28" s="6"/>
      <c r="B28" s="65" t="s">
        <v>18</v>
      </c>
      <c r="C28" s="66"/>
      <c r="D28" s="7" t="s">
        <v>17</v>
      </c>
      <c r="E28" s="67" t="s">
        <v>11</v>
      </c>
      <c r="F28" s="68"/>
      <c r="G28" s="13">
        <f>COUNTIF(E27:AI27,"H")</f>
        <v>22</v>
      </c>
      <c r="H28" s="67" t="s">
        <v>12</v>
      </c>
      <c r="I28" s="68"/>
      <c r="J28" s="13">
        <f>COUNTIF(E27:AI27,"T")</f>
        <v>5</v>
      </c>
      <c r="K28" s="67" t="s">
        <v>13</v>
      </c>
      <c r="L28" s="68"/>
      <c r="M28" s="13">
        <f>COUNTIF(E27:AI27,"A") + COUNTIF(E27:AI27,"I")</f>
        <v>4</v>
      </c>
      <c r="N28" s="67" t="s">
        <v>14</v>
      </c>
      <c r="O28" s="68"/>
      <c r="P28" s="13">
        <f>IF((G28+J28+M28)=0,0,(G28+J28)/(G28+J28+M28)*100)</f>
        <v>87.096774193548384</v>
      </c>
      <c r="Q28" s="67"/>
      <c r="R28" s="68"/>
      <c r="S28" s="13"/>
      <c r="T28" s="67"/>
      <c r="U28" s="68"/>
      <c r="V28" s="14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6"/>
    </row>
    <row r="29" spans="1:36" s="10" customFormat="1" ht="22" customHeight="1" x14ac:dyDescent="0.25">
      <c r="A29" s="9"/>
      <c r="B29" s="72" t="s">
        <v>34</v>
      </c>
      <c r="C29" s="72"/>
      <c r="D29" s="72"/>
      <c r="E29" s="16" t="s">
        <v>8</v>
      </c>
      <c r="F29" s="16" t="s">
        <v>0</v>
      </c>
      <c r="G29" s="17" t="s">
        <v>8</v>
      </c>
      <c r="H29" s="17" t="s">
        <v>8</v>
      </c>
      <c r="I29" s="17" t="s">
        <v>8</v>
      </c>
      <c r="J29" s="17" t="s">
        <v>8</v>
      </c>
      <c r="K29" s="17" t="s">
        <v>8</v>
      </c>
      <c r="L29" s="19" t="s">
        <v>8</v>
      </c>
      <c r="M29" s="19" t="s">
        <v>9</v>
      </c>
      <c r="N29" s="18" t="s">
        <v>9</v>
      </c>
      <c r="O29" s="18" t="s">
        <v>8</v>
      </c>
      <c r="P29" s="18" t="s">
        <v>9</v>
      </c>
      <c r="Q29" s="18" t="s">
        <v>8</v>
      </c>
      <c r="R29" s="18" t="s">
        <v>8</v>
      </c>
      <c r="S29" s="18" t="s">
        <v>8</v>
      </c>
      <c r="T29" s="18" t="s">
        <v>8</v>
      </c>
      <c r="U29" s="18" t="s">
        <v>9</v>
      </c>
      <c r="V29" s="18" t="s">
        <v>8</v>
      </c>
      <c r="W29" s="18" t="s">
        <v>8</v>
      </c>
      <c r="X29" s="18" t="s">
        <v>8</v>
      </c>
      <c r="Y29" s="18" t="s">
        <v>9</v>
      </c>
      <c r="Z29" s="18" t="s">
        <v>0</v>
      </c>
      <c r="AA29" s="18" t="s">
        <v>0</v>
      </c>
      <c r="AB29" s="18" t="s">
        <v>8</v>
      </c>
      <c r="AC29" s="18" t="s">
        <v>8</v>
      </c>
      <c r="AD29" s="18" t="s">
        <v>8</v>
      </c>
      <c r="AE29" s="18" t="s">
        <v>8</v>
      </c>
      <c r="AF29" s="18" t="s">
        <v>8</v>
      </c>
      <c r="AG29" s="18" t="s">
        <v>8</v>
      </c>
      <c r="AH29" s="18" t="s">
        <v>0</v>
      </c>
      <c r="AI29" s="18" t="s">
        <v>8</v>
      </c>
      <c r="AJ29" s="9"/>
    </row>
    <row r="30" spans="1:36" s="8" customFormat="1" ht="22" customHeight="1" thickBot="1" x14ac:dyDescent="0.3">
      <c r="A30" s="6"/>
      <c r="B30" s="65" t="s">
        <v>18</v>
      </c>
      <c r="C30" s="66"/>
      <c r="D30" s="7" t="s">
        <v>17</v>
      </c>
      <c r="E30" s="67" t="s">
        <v>11</v>
      </c>
      <c r="F30" s="68"/>
      <c r="G30" s="13">
        <f>COUNTIF(E29:AI29,"H")</f>
        <v>22</v>
      </c>
      <c r="H30" s="67" t="s">
        <v>12</v>
      </c>
      <c r="I30" s="68"/>
      <c r="J30" s="13">
        <f>COUNTIF(E29:AI29,"T")</f>
        <v>5</v>
      </c>
      <c r="K30" s="67" t="s">
        <v>13</v>
      </c>
      <c r="L30" s="68"/>
      <c r="M30" s="13">
        <f>COUNTIF(E29:AI29,"A") + COUNTIF(E29:AI29,"I")</f>
        <v>4</v>
      </c>
      <c r="N30" s="67" t="s">
        <v>14</v>
      </c>
      <c r="O30" s="68"/>
      <c r="P30" s="13">
        <f>IF((G30+J30+M30)=0,0,(G30+J30)/(G30+J30+M30)*100)</f>
        <v>87.096774193548384</v>
      </c>
      <c r="Q30" s="67"/>
      <c r="R30" s="68"/>
      <c r="S30" s="13"/>
      <c r="T30" s="67"/>
      <c r="U30" s="68"/>
      <c r="V30" s="14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6"/>
    </row>
    <row r="31" spans="1:36" ht="22" customHeight="1" x14ac:dyDescent="0.35">
      <c r="A31" s="2"/>
      <c r="B31" s="72" t="s">
        <v>35</v>
      </c>
      <c r="C31" s="72"/>
      <c r="D31" s="72"/>
      <c r="E31" s="16" t="s">
        <v>8</v>
      </c>
      <c r="F31" s="16" t="s">
        <v>0</v>
      </c>
      <c r="G31" s="17" t="s">
        <v>8</v>
      </c>
      <c r="H31" s="17" t="s">
        <v>8</v>
      </c>
      <c r="I31" s="17" t="s">
        <v>8</v>
      </c>
      <c r="J31" s="17" t="s">
        <v>8</v>
      </c>
      <c r="K31" s="17" t="s">
        <v>8</v>
      </c>
      <c r="L31" s="19" t="s">
        <v>8</v>
      </c>
      <c r="M31" s="19" t="s">
        <v>9</v>
      </c>
      <c r="N31" s="18" t="s">
        <v>9</v>
      </c>
      <c r="O31" s="18" t="s">
        <v>8</v>
      </c>
      <c r="P31" s="18" t="s">
        <v>9</v>
      </c>
      <c r="Q31" s="18" t="s">
        <v>8</v>
      </c>
      <c r="R31" s="18" t="s">
        <v>8</v>
      </c>
      <c r="S31" s="18" t="s">
        <v>8</v>
      </c>
      <c r="T31" s="18" t="s">
        <v>8</v>
      </c>
      <c r="U31" s="18" t="s">
        <v>9</v>
      </c>
      <c r="V31" s="18" t="s">
        <v>8</v>
      </c>
      <c r="W31" s="18" t="s">
        <v>8</v>
      </c>
      <c r="X31" s="18" t="s">
        <v>8</v>
      </c>
      <c r="Y31" s="18" t="s">
        <v>9</v>
      </c>
      <c r="Z31" s="18" t="s">
        <v>0</v>
      </c>
      <c r="AA31" s="18" t="s">
        <v>0</v>
      </c>
      <c r="AB31" s="18" t="s">
        <v>8</v>
      </c>
      <c r="AC31" s="18" t="s">
        <v>8</v>
      </c>
      <c r="AD31" s="18" t="s">
        <v>8</v>
      </c>
      <c r="AE31" s="18" t="s">
        <v>8</v>
      </c>
      <c r="AF31" s="18" t="s">
        <v>8</v>
      </c>
      <c r="AG31" s="18" t="s">
        <v>8</v>
      </c>
      <c r="AH31" s="18" t="s">
        <v>0</v>
      </c>
      <c r="AI31" s="18" t="s">
        <v>8</v>
      </c>
      <c r="AJ31" s="2"/>
    </row>
    <row r="32" spans="1:36" s="8" customFormat="1" ht="22" customHeight="1" thickBot="1" x14ac:dyDescent="0.3">
      <c r="A32" s="6"/>
      <c r="B32" s="65" t="s">
        <v>18</v>
      </c>
      <c r="C32" s="66"/>
      <c r="D32" s="7" t="s">
        <v>17</v>
      </c>
      <c r="E32" s="67" t="s">
        <v>11</v>
      </c>
      <c r="F32" s="68"/>
      <c r="G32" s="13">
        <f>COUNTIF(E31:AI31,"H")</f>
        <v>22</v>
      </c>
      <c r="H32" s="67" t="s">
        <v>12</v>
      </c>
      <c r="I32" s="68"/>
      <c r="J32" s="13">
        <f>COUNTIF(E31:AI31,"T")</f>
        <v>5</v>
      </c>
      <c r="K32" s="67" t="s">
        <v>13</v>
      </c>
      <c r="L32" s="68"/>
      <c r="M32" s="13">
        <f>COUNTIF(E31:AI31,"A") + COUNTIF(E31:AI31,"I")</f>
        <v>4</v>
      </c>
      <c r="N32" s="67" t="s">
        <v>14</v>
      </c>
      <c r="O32" s="68"/>
      <c r="P32" s="13">
        <f>IF((G32+J32+M32)=0,0,(G32+J32)/(G32+J32+M32)*100)</f>
        <v>87.096774193548384</v>
      </c>
      <c r="Q32" s="67"/>
      <c r="R32" s="68"/>
      <c r="S32" s="13"/>
      <c r="T32" s="67"/>
      <c r="U32" s="68"/>
      <c r="V32" s="14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6"/>
    </row>
    <row r="33" spans="1:36" ht="22" customHeight="1" x14ac:dyDescent="0.35">
      <c r="A33" s="2"/>
      <c r="B33" s="72" t="s">
        <v>36</v>
      </c>
      <c r="C33" s="72"/>
      <c r="D33" s="72"/>
      <c r="E33" s="16" t="s">
        <v>8</v>
      </c>
      <c r="F33" s="16" t="s">
        <v>0</v>
      </c>
      <c r="G33" s="17" t="s">
        <v>8</v>
      </c>
      <c r="H33" s="17" t="s">
        <v>8</v>
      </c>
      <c r="I33" s="17" t="s">
        <v>8</v>
      </c>
      <c r="J33" s="17" t="s">
        <v>8</v>
      </c>
      <c r="K33" s="17" t="s">
        <v>8</v>
      </c>
      <c r="L33" s="19" t="s">
        <v>8</v>
      </c>
      <c r="M33" s="19" t="s">
        <v>9</v>
      </c>
      <c r="N33" s="18" t="s">
        <v>9</v>
      </c>
      <c r="O33" s="18" t="s">
        <v>8</v>
      </c>
      <c r="P33" s="18" t="s">
        <v>9</v>
      </c>
      <c r="Q33" s="18" t="s">
        <v>8</v>
      </c>
      <c r="R33" s="18" t="s">
        <v>8</v>
      </c>
      <c r="S33" s="18" t="s">
        <v>8</v>
      </c>
      <c r="T33" s="18" t="s">
        <v>8</v>
      </c>
      <c r="U33" s="18" t="s">
        <v>9</v>
      </c>
      <c r="V33" s="18" t="s">
        <v>8</v>
      </c>
      <c r="W33" s="18" t="s">
        <v>8</v>
      </c>
      <c r="X33" s="18" t="s">
        <v>8</v>
      </c>
      <c r="Y33" s="18" t="s">
        <v>9</v>
      </c>
      <c r="Z33" s="18" t="s">
        <v>0</v>
      </c>
      <c r="AA33" s="18" t="s">
        <v>0</v>
      </c>
      <c r="AB33" s="18" t="s">
        <v>8</v>
      </c>
      <c r="AC33" s="18" t="s">
        <v>8</v>
      </c>
      <c r="AD33" s="18" t="s">
        <v>8</v>
      </c>
      <c r="AE33" s="18" t="s">
        <v>8</v>
      </c>
      <c r="AF33" s="18" t="s">
        <v>8</v>
      </c>
      <c r="AG33" s="18" t="s">
        <v>8</v>
      </c>
      <c r="AH33" s="18" t="s">
        <v>0</v>
      </c>
      <c r="AI33" s="18" t="s">
        <v>8</v>
      </c>
      <c r="AJ33" s="2"/>
    </row>
    <row r="34" spans="1:36" s="8" customFormat="1" ht="22" customHeight="1" thickBot="1" x14ac:dyDescent="0.3">
      <c r="A34" s="6"/>
      <c r="B34" s="65" t="s">
        <v>18</v>
      </c>
      <c r="C34" s="66"/>
      <c r="D34" s="7" t="s">
        <v>17</v>
      </c>
      <c r="E34" s="67" t="s">
        <v>11</v>
      </c>
      <c r="F34" s="68"/>
      <c r="G34" s="13">
        <f>COUNTIF(E33:AI33,"H")</f>
        <v>22</v>
      </c>
      <c r="H34" s="67" t="s">
        <v>12</v>
      </c>
      <c r="I34" s="68"/>
      <c r="J34" s="13">
        <f>COUNTIF(E33:AI33,"T")</f>
        <v>5</v>
      </c>
      <c r="K34" s="67" t="s">
        <v>13</v>
      </c>
      <c r="L34" s="68"/>
      <c r="M34" s="13">
        <f>COUNTIF(E33:AI33,"A") + COUNTIF(E33:AI33,"I")</f>
        <v>4</v>
      </c>
      <c r="N34" s="67" t="s">
        <v>14</v>
      </c>
      <c r="O34" s="68"/>
      <c r="P34" s="13">
        <f>IF((G34+J34+M34)=0,0,(G34+J34)/(G34+J34+M34)*100)</f>
        <v>87.096774193548384</v>
      </c>
      <c r="Q34" s="67"/>
      <c r="R34" s="68"/>
      <c r="S34" s="13"/>
      <c r="T34" s="67"/>
      <c r="U34" s="68"/>
      <c r="V34" s="14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6"/>
    </row>
    <row r="35" spans="1:36" s="10" customFormat="1" ht="22" customHeight="1" x14ac:dyDescent="0.25">
      <c r="A35" s="9"/>
      <c r="B35" s="69" t="s">
        <v>37</v>
      </c>
      <c r="C35" s="70"/>
      <c r="D35" s="71"/>
      <c r="E35" s="16" t="s">
        <v>8</v>
      </c>
      <c r="F35" s="16" t="s">
        <v>0</v>
      </c>
      <c r="G35" s="17" t="s">
        <v>8</v>
      </c>
      <c r="H35" s="17" t="s">
        <v>8</v>
      </c>
      <c r="I35" s="17" t="s">
        <v>8</v>
      </c>
      <c r="J35" s="17" t="s">
        <v>8</v>
      </c>
      <c r="K35" s="17" t="s">
        <v>8</v>
      </c>
      <c r="L35" s="19" t="s">
        <v>8</v>
      </c>
      <c r="M35" s="19" t="s">
        <v>9</v>
      </c>
      <c r="N35" s="18" t="s">
        <v>9</v>
      </c>
      <c r="O35" s="18" t="s">
        <v>8</v>
      </c>
      <c r="P35" s="18" t="s">
        <v>9</v>
      </c>
      <c r="Q35" s="18" t="s">
        <v>8</v>
      </c>
      <c r="R35" s="18" t="s">
        <v>8</v>
      </c>
      <c r="S35" s="18" t="s">
        <v>8</v>
      </c>
      <c r="T35" s="18" t="s">
        <v>8</v>
      </c>
      <c r="U35" s="18" t="s">
        <v>9</v>
      </c>
      <c r="V35" s="18" t="s">
        <v>8</v>
      </c>
      <c r="W35" s="18" t="s">
        <v>8</v>
      </c>
      <c r="X35" s="18" t="s">
        <v>8</v>
      </c>
      <c r="Y35" s="18" t="s">
        <v>9</v>
      </c>
      <c r="Z35" s="18" t="s">
        <v>0</v>
      </c>
      <c r="AA35" s="18" t="s">
        <v>0</v>
      </c>
      <c r="AB35" s="18" t="s">
        <v>8</v>
      </c>
      <c r="AC35" s="18" t="s">
        <v>8</v>
      </c>
      <c r="AD35" s="18" t="s">
        <v>8</v>
      </c>
      <c r="AE35" s="18" t="s">
        <v>8</v>
      </c>
      <c r="AF35" s="18" t="s">
        <v>8</v>
      </c>
      <c r="AG35" s="18" t="s">
        <v>8</v>
      </c>
      <c r="AH35" s="18" t="s">
        <v>0</v>
      </c>
      <c r="AI35" s="18" t="s">
        <v>8</v>
      </c>
      <c r="AJ35" s="9"/>
    </row>
    <row r="36" spans="1:36" s="8" customFormat="1" ht="22" customHeight="1" thickBot="1" x14ac:dyDescent="0.3">
      <c r="A36" s="6"/>
      <c r="B36" s="65" t="s">
        <v>18</v>
      </c>
      <c r="C36" s="66"/>
      <c r="D36" s="7" t="s">
        <v>17</v>
      </c>
      <c r="E36" s="67" t="s">
        <v>11</v>
      </c>
      <c r="F36" s="68"/>
      <c r="G36" s="13">
        <f>COUNTIF(E35:AI35,"H")</f>
        <v>22</v>
      </c>
      <c r="H36" s="67" t="s">
        <v>12</v>
      </c>
      <c r="I36" s="68"/>
      <c r="J36" s="13">
        <f>COUNTIF(E35:AI35,"T")</f>
        <v>5</v>
      </c>
      <c r="K36" s="67" t="s">
        <v>13</v>
      </c>
      <c r="L36" s="68"/>
      <c r="M36" s="13">
        <f>COUNTIF(E35:AI35,"A") + COUNTIF(E35:AI35,"I")</f>
        <v>4</v>
      </c>
      <c r="N36" s="67" t="s">
        <v>14</v>
      </c>
      <c r="O36" s="68"/>
      <c r="P36" s="13">
        <f>IF((G36+J36+M36)=0,0,(G36+J36)/(G36+J36+M36)*100)</f>
        <v>87.096774193548384</v>
      </c>
      <c r="Q36" s="67"/>
      <c r="R36" s="68"/>
      <c r="S36" s="13"/>
      <c r="T36" s="67"/>
      <c r="U36" s="68"/>
      <c r="V36" s="14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6"/>
    </row>
    <row r="37" spans="1:36" s="10" customFormat="1" ht="22" customHeight="1" x14ac:dyDescent="0.25">
      <c r="A37" s="9"/>
      <c r="B37" s="69" t="s">
        <v>38</v>
      </c>
      <c r="C37" s="70"/>
      <c r="D37" s="71"/>
      <c r="E37" s="16" t="s">
        <v>8</v>
      </c>
      <c r="F37" s="16" t="s">
        <v>0</v>
      </c>
      <c r="G37" s="17" t="s">
        <v>8</v>
      </c>
      <c r="H37" s="17" t="s">
        <v>8</v>
      </c>
      <c r="I37" s="17" t="s">
        <v>8</v>
      </c>
      <c r="J37" s="17" t="s">
        <v>8</v>
      </c>
      <c r="K37" s="17" t="s">
        <v>8</v>
      </c>
      <c r="L37" s="19" t="s">
        <v>8</v>
      </c>
      <c r="M37" s="19" t="s">
        <v>9</v>
      </c>
      <c r="N37" s="18" t="s">
        <v>9</v>
      </c>
      <c r="O37" s="18" t="s">
        <v>8</v>
      </c>
      <c r="P37" s="18" t="s">
        <v>9</v>
      </c>
      <c r="Q37" s="18" t="s">
        <v>8</v>
      </c>
      <c r="R37" s="18" t="s">
        <v>8</v>
      </c>
      <c r="S37" s="18" t="s">
        <v>8</v>
      </c>
      <c r="T37" s="18" t="s">
        <v>8</v>
      </c>
      <c r="U37" s="18" t="s">
        <v>9</v>
      </c>
      <c r="V37" s="18" t="s">
        <v>8</v>
      </c>
      <c r="W37" s="18" t="s">
        <v>8</v>
      </c>
      <c r="X37" s="18" t="s">
        <v>8</v>
      </c>
      <c r="Y37" s="18" t="s">
        <v>9</v>
      </c>
      <c r="Z37" s="18" t="s">
        <v>0</v>
      </c>
      <c r="AA37" s="18" t="s">
        <v>0</v>
      </c>
      <c r="AB37" s="18" t="s">
        <v>8</v>
      </c>
      <c r="AC37" s="18" t="s">
        <v>8</v>
      </c>
      <c r="AD37" s="18" t="s">
        <v>8</v>
      </c>
      <c r="AE37" s="18" t="s">
        <v>8</v>
      </c>
      <c r="AF37" s="18" t="s">
        <v>8</v>
      </c>
      <c r="AG37" s="18" t="s">
        <v>8</v>
      </c>
      <c r="AH37" s="18" t="s">
        <v>0</v>
      </c>
      <c r="AI37" s="18" t="s">
        <v>8</v>
      </c>
      <c r="AJ37" s="9"/>
    </row>
    <row r="38" spans="1:36" s="8" customFormat="1" ht="22" customHeight="1" thickBot="1" x14ac:dyDescent="0.3">
      <c r="A38" s="6"/>
      <c r="B38" s="65" t="s">
        <v>18</v>
      </c>
      <c r="C38" s="66"/>
      <c r="D38" s="7" t="s">
        <v>17</v>
      </c>
      <c r="E38" s="67" t="s">
        <v>11</v>
      </c>
      <c r="F38" s="68"/>
      <c r="G38" s="13">
        <f>COUNTIF(E37:AI37,"H")</f>
        <v>22</v>
      </c>
      <c r="H38" s="67" t="s">
        <v>12</v>
      </c>
      <c r="I38" s="68"/>
      <c r="J38" s="13">
        <f>COUNTIF(E37:AI37,"T")</f>
        <v>5</v>
      </c>
      <c r="K38" s="67" t="s">
        <v>13</v>
      </c>
      <c r="L38" s="68"/>
      <c r="M38" s="13">
        <f>COUNTIF(E37:AI37,"A") + COUNTIF(E37:AI37,"I")</f>
        <v>4</v>
      </c>
      <c r="N38" s="67" t="s">
        <v>14</v>
      </c>
      <c r="O38" s="68"/>
      <c r="P38" s="13">
        <f>IF((G38+J38+M38)=0,0,(G38+J38)/(G38+J38+M38)*100)</f>
        <v>87.096774193548384</v>
      </c>
      <c r="Q38" s="67"/>
      <c r="R38" s="68"/>
      <c r="S38" s="13"/>
      <c r="T38" s="67"/>
      <c r="U38" s="68"/>
      <c r="V38" s="14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6"/>
    </row>
    <row r="39" spans="1:36" s="10" customFormat="1" ht="22" customHeight="1" x14ac:dyDescent="0.25">
      <c r="A39" s="9"/>
      <c r="B39" s="69" t="s">
        <v>39</v>
      </c>
      <c r="C39" s="70"/>
      <c r="D39" s="71"/>
      <c r="E39" s="16" t="s">
        <v>8</v>
      </c>
      <c r="F39" s="16" t="s">
        <v>0</v>
      </c>
      <c r="G39" s="17" t="s">
        <v>8</v>
      </c>
      <c r="H39" s="17" t="s">
        <v>8</v>
      </c>
      <c r="I39" s="17" t="s">
        <v>8</v>
      </c>
      <c r="J39" s="17" t="s">
        <v>8</v>
      </c>
      <c r="K39" s="17" t="s">
        <v>8</v>
      </c>
      <c r="L39" s="19" t="s">
        <v>8</v>
      </c>
      <c r="M39" s="19" t="s">
        <v>9</v>
      </c>
      <c r="N39" s="18" t="s">
        <v>9</v>
      </c>
      <c r="O39" s="18" t="s">
        <v>8</v>
      </c>
      <c r="P39" s="18" t="s">
        <v>9</v>
      </c>
      <c r="Q39" s="18" t="s">
        <v>8</v>
      </c>
      <c r="R39" s="18" t="s">
        <v>8</v>
      </c>
      <c r="S39" s="18" t="s">
        <v>8</v>
      </c>
      <c r="T39" s="18" t="s">
        <v>8</v>
      </c>
      <c r="U39" s="18" t="s">
        <v>9</v>
      </c>
      <c r="V39" s="18" t="s">
        <v>8</v>
      </c>
      <c r="W39" s="18" t="s">
        <v>8</v>
      </c>
      <c r="X39" s="18" t="s">
        <v>8</v>
      </c>
      <c r="Y39" s="18" t="s">
        <v>9</v>
      </c>
      <c r="Z39" s="18" t="s">
        <v>0</v>
      </c>
      <c r="AA39" s="18" t="s">
        <v>0</v>
      </c>
      <c r="AB39" s="18" t="s">
        <v>8</v>
      </c>
      <c r="AC39" s="18" t="s">
        <v>8</v>
      </c>
      <c r="AD39" s="18" t="s">
        <v>8</v>
      </c>
      <c r="AE39" s="18" t="s">
        <v>8</v>
      </c>
      <c r="AF39" s="18" t="s">
        <v>8</v>
      </c>
      <c r="AG39" s="18" t="s">
        <v>8</v>
      </c>
      <c r="AH39" s="18" t="s">
        <v>0</v>
      </c>
      <c r="AI39" s="18" t="s">
        <v>8</v>
      </c>
      <c r="AJ39" s="9"/>
    </row>
    <row r="40" spans="1:36" s="8" customFormat="1" ht="22" customHeight="1" thickBot="1" x14ac:dyDescent="0.3">
      <c r="A40" s="6"/>
      <c r="B40" s="65" t="s">
        <v>18</v>
      </c>
      <c r="C40" s="66"/>
      <c r="D40" s="7" t="s">
        <v>17</v>
      </c>
      <c r="E40" s="67" t="s">
        <v>11</v>
      </c>
      <c r="F40" s="68"/>
      <c r="G40" s="13">
        <f>COUNTIF(E39:AI39,"H")</f>
        <v>22</v>
      </c>
      <c r="H40" s="67" t="s">
        <v>12</v>
      </c>
      <c r="I40" s="68"/>
      <c r="J40" s="13">
        <f>COUNTIF(E39:AI39,"T")</f>
        <v>5</v>
      </c>
      <c r="K40" s="67" t="s">
        <v>13</v>
      </c>
      <c r="L40" s="68"/>
      <c r="M40" s="13">
        <f>COUNTIF(E39:AI39,"A") + COUNTIF(E39:AI39,"I")</f>
        <v>4</v>
      </c>
      <c r="N40" s="67" t="s">
        <v>14</v>
      </c>
      <c r="O40" s="68"/>
      <c r="P40" s="13">
        <f>IF((G40+J40+M40)=0,0,(G40+J40)/(G40+J40+M40)*100)</f>
        <v>87.096774193548384</v>
      </c>
      <c r="Q40" s="67"/>
      <c r="R40" s="68"/>
      <c r="S40" s="13"/>
      <c r="T40" s="67"/>
      <c r="U40" s="68"/>
      <c r="V40" s="14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6"/>
    </row>
    <row r="41" spans="1:36" s="10" customFormat="1" ht="22" customHeight="1" x14ac:dyDescent="0.25">
      <c r="A41" s="9"/>
      <c r="B41" s="69" t="s">
        <v>40</v>
      </c>
      <c r="C41" s="70"/>
      <c r="D41" s="71"/>
      <c r="E41" s="16" t="s">
        <v>8</v>
      </c>
      <c r="F41" s="16" t="s">
        <v>0</v>
      </c>
      <c r="G41" s="17" t="s">
        <v>8</v>
      </c>
      <c r="H41" s="17" t="s">
        <v>8</v>
      </c>
      <c r="I41" s="17" t="s">
        <v>8</v>
      </c>
      <c r="J41" s="17" t="s">
        <v>8</v>
      </c>
      <c r="K41" s="17" t="s">
        <v>8</v>
      </c>
      <c r="L41" s="19" t="s">
        <v>8</v>
      </c>
      <c r="M41" s="19" t="s">
        <v>9</v>
      </c>
      <c r="N41" s="18" t="s">
        <v>9</v>
      </c>
      <c r="O41" s="18" t="s">
        <v>8</v>
      </c>
      <c r="P41" s="18" t="s">
        <v>9</v>
      </c>
      <c r="Q41" s="18" t="s">
        <v>8</v>
      </c>
      <c r="R41" s="18" t="s">
        <v>8</v>
      </c>
      <c r="S41" s="18" t="s">
        <v>8</v>
      </c>
      <c r="T41" s="18" t="s">
        <v>8</v>
      </c>
      <c r="U41" s="18" t="s">
        <v>9</v>
      </c>
      <c r="V41" s="18" t="s">
        <v>8</v>
      </c>
      <c r="W41" s="18" t="s">
        <v>8</v>
      </c>
      <c r="X41" s="18" t="s">
        <v>8</v>
      </c>
      <c r="Y41" s="18" t="s">
        <v>9</v>
      </c>
      <c r="Z41" s="18" t="s">
        <v>0</v>
      </c>
      <c r="AA41" s="18" t="s">
        <v>0</v>
      </c>
      <c r="AB41" s="18" t="s">
        <v>8</v>
      </c>
      <c r="AC41" s="18" t="s">
        <v>8</v>
      </c>
      <c r="AD41" s="18" t="s">
        <v>8</v>
      </c>
      <c r="AE41" s="18" t="s">
        <v>8</v>
      </c>
      <c r="AF41" s="18" t="s">
        <v>8</v>
      </c>
      <c r="AG41" s="18" t="s">
        <v>8</v>
      </c>
      <c r="AH41" s="18" t="s">
        <v>0</v>
      </c>
      <c r="AI41" s="18" t="s">
        <v>8</v>
      </c>
      <c r="AJ41" s="9"/>
    </row>
    <row r="42" spans="1:36" s="8" customFormat="1" ht="22" customHeight="1" thickBot="1" x14ac:dyDescent="0.3">
      <c r="A42" s="6"/>
      <c r="B42" s="65" t="s">
        <v>18</v>
      </c>
      <c r="C42" s="66"/>
      <c r="D42" s="7" t="s">
        <v>17</v>
      </c>
      <c r="E42" s="67" t="s">
        <v>11</v>
      </c>
      <c r="F42" s="68"/>
      <c r="G42" s="13">
        <f>COUNTIF(E41:AI41,"H")</f>
        <v>22</v>
      </c>
      <c r="H42" s="67" t="s">
        <v>12</v>
      </c>
      <c r="I42" s="68"/>
      <c r="J42" s="13">
        <f>COUNTIF(E41:AI41,"T")</f>
        <v>5</v>
      </c>
      <c r="K42" s="67" t="s">
        <v>13</v>
      </c>
      <c r="L42" s="68"/>
      <c r="M42" s="13">
        <f>COUNTIF(E41:AI41,"A") + COUNTIF(E41:AI41,"I")</f>
        <v>4</v>
      </c>
      <c r="N42" s="67" t="s">
        <v>14</v>
      </c>
      <c r="O42" s="68"/>
      <c r="P42" s="13">
        <f>IF((G42+J42+M42)=0,0,(G42+J42)/(G42+J42+M42)*100)</f>
        <v>87.096774193548384</v>
      </c>
      <c r="Q42" s="67"/>
      <c r="R42" s="68"/>
      <c r="S42" s="13"/>
      <c r="T42" s="67"/>
      <c r="U42" s="68"/>
      <c r="V42" s="14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6"/>
    </row>
    <row r="43" spans="1:36" s="10" customFormat="1" ht="22" customHeight="1" x14ac:dyDescent="0.25">
      <c r="A43" s="9"/>
      <c r="B43" s="62" t="s">
        <v>41</v>
      </c>
      <c r="C43" s="63"/>
      <c r="D43" s="64"/>
      <c r="E43" s="16" t="s">
        <v>8</v>
      </c>
      <c r="F43" s="16" t="s">
        <v>0</v>
      </c>
      <c r="G43" s="17" t="s">
        <v>8</v>
      </c>
      <c r="H43" s="17" t="s">
        <v>8</v>
      </c>
      <c r="I43" s="17" t="s">
        <v>8</v>
      </c>
      <c r="J43" s="17" t="s">
        <v>8</v>
      </c>
      <c r="K43" s="17" t="s">
        <v>8</v>
      </c>
      <c r="L43" s="19" t="s">
        <v>8</v>
      </c>
      <c r="M43" s="19" t="s">
        <v>9</v>
      </c>
      <c r="N43" s="18" t="s">
        <v>9</v>
      </c>
      <c r="O43" s="18" t="s">
        <v>8</v>
      </c>
      <c r="P43" s="18" t="s">
        <v>9</v>
      </c>
      <c r="Q43" s="18" t="s">
        <v>8</v>
      </c>
      <c r="R43" s="18" t="s">
        <v>8</v>
      </c>
      <c r="S43" s="18" t="s">
        <v>8</v>
      </c>
      <c r="T43" s="18" t="s">
        <v>8</v>
      </c>
      <c r="U43" s="18" t="s">
        <v>9</v>
      </c>
      <c r="V43" s="18" t="s">
        <v>8</v>
      </c>
      <c r="W43" s="18" t="s">
        <v>8</v>
      </c>
      <c r="X43" s="18" t="s">
        <v>8</v>
      </c>
      <c r="Y43" s="18" t="s">
        <v>9</v>
      </c>
      <c r="Z43" s="18" t="s">
        <v>0</v>
      </c>
      <c r="AA43" s="18" t="s">
        <v>0</v>
      </c>
      <c r="AB43" s="18" t="s">
        <v>8</v>
      </c>
      <c r="AC43" s="18" t="s">
        <v>8</v>
      </c>
      <c r="AD43" s="18" t="s">
        <v>8</v>
      </c>
      <c r="AE43" s="18" t="s">
        <v>8</v>
      </c>
      <c r="AF43" s="18" t="s">
        <v>8</v>
      </c>
      <c r="AG43" s="18" t="s">
        <v>8</v>
      </c>
      <c r="AH43" s="18" t="s">
        <v>0</v>
      </c>
      <c r="AI43" s="18" t="s">
        <v>8</v>
      </c>
      <c r="AJ43" s="9"/>
    </row>
    <row r="44" spans="1:36" s="8" customFormat="1" ht="22" customHeight="1" thickBot="1" x14ac:dyDescent="0.3">
      <c r="A44" s="6"/>
      <c r="B44" s="65" t="s">
        <v>18</v>
      </c>
      <c r="C44" s="66"/>
      <c r="D44" s="7" t="s">
        <v>17</v>
      </c>
      <c r="E44" s="67" t="s">
        <v>11</v>
      </c>
      <c r="F44" s="68"/>
      <c r="G44" s="13">
        <f>COUNTIF(E43:AI43,"H")</f>
        <v>22</v>
      </c>
      <c r="H44" s="67" t="s">
        <v>12</v>
      </c>
      <c r="I44" s="68"/>
      <c r="J44" s="13">
        <f>COUNTIF(E43:AI43,"T")</f>
        <v>5</v>
      </c>
      <c r="K44" s="67" t="s">
        <v>13</v>
      </c>
      <c r="L44" s="68"/>
      <c r="M44" s="13">
        <f>COUNTIF(E43:AI43,"A") + COUNTIF(E43:AI43,"I")</f>
        <v>4</v>
      </c>
      <c r="N44" s="67" t="s">
        <v>14</v>
      </c>
      <c r="O44" s="68"/>
      <c r="P44" s="13">
        <f>IF((G44+J44+M44)=0,0,(G44+J44)/(G44+J44+M44)*100)</f>
        <v>87.096774193548384</v>
      </c>
      <c r="Q44" s="67"/>
      <c r="R44" s="68"/>
      <c r="S44" s="13"/>
      <c r="T44" s="67"/>
      <c r="U44" s="68"/>
      <c r="V44" s="14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6"/>
    </row>
    <row r="45" spans="1:36" ht="22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ht="28.5" customHeight="1" x14ac:dyDescent="0.35">
      <c r="A46" s="2"/>
      <c r="B46" s="48" t="s">
        <v>19</v>
      </c>
      <c r="C46" s="48"/>
      <c r="D46" s="48"/>
      <c r="E46" s="48"/>
      <c r="F46" s="48"/>
      <c r="G46" s="48"/>
      <c r="H46" s="48"/>
      <c r="I46" s="48"/>
      <c r="J46" s="48"/>
      <c r="L46" s="49" t="s">
        <v>20</v>
      </c>
      <c r="M46" s="50"/>
      <c r="N46" s="50"/>
      <c r="O46" s="50"/>
      <c r="P46" s="50"/>
      <c r="Q46" s="50"/>
      <c r="R46" s="50"/>
      <c r="S46" s="50"/>
      <c r="T46" s="50"/>
      <c r="U46" s="50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6" ht="22" customHeight="1" x14ac:dyDescent="0.35">
      <c r="A47" s="2"/>
      <c r="B47" s="51"/>
      <c r="C47" s="51"/>
      <c r="D47" s="51"/>
      <c r="E47" s="51"/>
      <c r="F47" s="51"/>
      <c r="G47" s="51"/>
      <c r="H47" s="51"/>
      <c r="I47" s="51"/>
      <c r="J47" s="51"/>
      <c r="L47" s="52" t="s">
        <v>21</v>
      </c>
      <c r="M47" s="52"/>
      <c r="N47" s="52"/>
      <c r="O47" s="52"/>
      <c r="P47" s="52"/>
      <c r="Q47" s="52"/>
      <c r="R47" s="52"/>
      <c r="S47" s="52"/>
      <c r="T47" s="53">
        <v>31</v>
      </c>
      <c r="U47" s="54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6" ht="22" customHeight="1" x14ac:dyDescent="0.35">
      <c r="A48" s="2"/>
      <c r="B48" s="51"/>
      <c r="C48" s="51"/>
      <c r="D48" s="51"/>
      <c r="E48" s="51"/>
      <c r="F48" s="51"/>
      <c r="G48" s="51"/>
      <c r="H48" s="51"/>
      <c r="I48" s="51"/>
      <c r="J48" s="51"/>
      <c r="L48" s="52" t="s">
        <v>42</v>
      </c>
      <c r="M48" s="52"/>
      <c r="N48" s="52"/>
      <c r="O48" s="52"/>
      <c r="P48" s="52"/>
      <c r="Q48" s="52"/>
      <c r="R48" s="52"/>
      <c r="S48" s="52"/>
      <c r="T48" s="53">
        <v>20</v>
      </c>
      <c r="U48" s="54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1:36" ht="22" customHeight="1" x14ac:dyDescent="0.35">
      <c r="A49" s="2"/>
      <c r="B49" s="51"/>
      <c r="C49" s="51"/>
      <c r="D49" s="51"/>
      <c r="E49" s="51"/>
      <c r="F49" s="51"/>
      <c r="G49" s="51"/>
      <c r="H49" s="51"/>
      <c r="I49" s="51"/>
      <c r="J49" s="51"/>
      <c r="L49" s="55" t="s">
        <v>43</v>
      </c>
      <c r="M49" s="55"/>
      <c r="N49" s="55"/>
      <c r="O49" s="55"/>
      <c r="P49" s="55"/>
      <c r="Q49" s="55"/>
      <c r="R49" s="55"/>
      <c r="S49" s="55"/>
      <c r="T49" s="58">
        <f>T47*T48</f>
        <v>620</v>
      </c>
      <c r="U49" s="59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1:36" ht="22" customHeight="1" x14ac:dyDescent="0.35">
      <c r="A50" s="2"/>
      <c r="B50" s="51"/>
      <c r="C50" s="51"/>
      <c r="D50" s="51"/>
      <c r="E50" s="51"/>
      <c r="F50" s="51"/>
      <c r="G50" s="51"/>
      <c r="H50" s="51"/>
      <c r="I50" s="51"/>
      <c r="J50" s="51"/>
      <c r="L50" s="52" t="s">
        <v>44</v>
      </c>
      <c r="M50" s="52"/>
      <c r="N50" s="52"/>
      <c r="O50" s="52"/>
      <c r="P50" s="52"/>
      <c r="Q50" s="52"/>
      <c r="R50" s="52"/>
      <c r="S50" s="52"/>
      <c r="T50" s="60">
        <f>COUNTIF(E5:AI43,"H")</f>
        <v>444</v>
      </c>
      <c r="U50" s="61"/>
      <c r="AD50" s="2"/>
      <c r="AE50" s="2"/>
      <c r="AF50" s="2"/>
      <c r="AG50" s="2"/>
      <c r="AH50" s="2"/>
      <c r="AI50" s="2"/>
    </row>
    <row r="51" spans="1:36" ht="22" customHeight="1" x14ac:dyDescent="0.35">
      <c r="A51" s="2"/>
      <c r="B51" s="51"/>
      <c r="C51" s="51"/>
      <c r="D51" s="51"/>
      <c r="E51" s="51"/>
      <c r="F51" s="51"/>
      <c r="G51" s="51"/>
      <c r="H51" s="51"/>
      <c r="I51" s="51"/>
      <c r="J51" s="51"/>
      <c r="L51" s="52" t="s">
        <v>45</v>
      </c>
      <c r="M51" s="52"/>
      <c r="N51" s="52"/>
      <c r="O51" s="52"/>
      <c r="P51" s="52"/>
      <c r="Q51" s="52"/>
      <c r="R51" s="52"/>
      <c r="S51" s="52"/>
      <c r="T51" s="60">
        <f>COUNTIF(E5:AI43,"T")</f>
        <v>96</v>
      </c>
      <c r="U51" s="61"/>
      <c r="AD51" s="2"/>
      <c r="AE51" s="2"/>
      <c r="AF51" s="2"/>
      <c r="AG51" s="2"/>
      <c r="AH51" s="2"/>
      <c r="AI51" s="2"/>
    </row>
    <row r="52" spans="1:36" ht="22" customHeight="1" x14ac:dyDescent="0.35">
      <c r="A52" s="2"/>
      <c r="B52" s="51"/>
      <c r="C52" s="51"/>
      <c r="D52" s="51"/>
      <c r="E52" s="51"/>
      <c r="F52" s="51"/>
      <c r="G52" s="51"/>
      <c r="H52" s="51"/>
      <c r="I52" s="51"/>
      <c r="J52" s="51"/>
      <c r="L52" s="52" t="s">
        <v>46</v>
      </c>
      <c r="M52" s="52"/>
      <c r="N52" s="52"/>
      <c r="O52" s="52"/>
      <c r="P52" s="52"/>
      <c r="Q52" s="52"/>
      <c r="R52" s="52"/>
      <c r="S52" s="52"/>
      <c r="T52" s="60">
        <f>COUNTIF(E5:AI43,"A")+COUNTIF(E5:AI43,"I")</f>
        <v>80</v>
      </c>
      <c r="U52" s="61"/>
      <c r="AD52" s="2"/>
      <c r="AE52" s="2"/>
      <c r="AF52" s="2"/>
      <c r="AG52" s="2"/>
      <c r="AH52" s="2"/>
      <c r="AI52" s="2"/>
    </row>
    <row r="53" spans="1:36" ht="22" customHeight="1" x14ac:dyDescent="0.35">
      <c r="A53" s="2"/>
      <c r="B53" s="51"/>
      <c r="C53" s="51"/>
      <c r="D53" s="51"/>
      <c r="E53" s="51"/>
      <c r="F53" s="51"/>
      <c r="G53" s="51"/>
      <c r="H53" s="51"/>
      <c r="I53" s="51"/>
      <c r="J53" s="51"/>
      <c r="L53" s="52" t="s">
        <v>47</v>
      </c>
      <c r="M53" s="52"/>
      <c r="N53" s="52"/>
      <c r="O53" s="52"/>
      <c r="P53" s="52"/>
      <c r="Q53" s="52"/>
      <c r="R53" s="52"/>
      <c r="S53" s="52"/>
      <c r="T53" s="56">
        <f>IF((T50+T51+T52)=0,0,(T50+T51)/( T50+T51+T52))</f>
        <v>0.87096774193548387</v>
      </c>
      <c r="U53" s="57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1:36" ht="16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ht="16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ht="16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ht="16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ht="16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ht="16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ht="16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spans="1:36" ht="16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ht="16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6" ht="16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ht="16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ht="16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ht="16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spans="1:36" ht="16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6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spans="1:36" ht="16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spans="1:36" ht="16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spans="1:36" ht="16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spans="1:36" ht="16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spans="1:36" ht="16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6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6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6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spans="1:36" ht="16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spans="1:36" ht="16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spans="1:36" ht="16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6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6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spans="1:36" ht="16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spans="1:36" ht="16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spans="1:36" ht="16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spans="1:36" ht="16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spans="1:36" ht="16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spans="1:36" ht="16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spans="1:36" ht="16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6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spans="1:36" ht="16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spans="1:36" ht="16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spans="1:36" ht="16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spans="1:36" ht="16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spans="1:36" ht="16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spans="1:36" ht="16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spans="1:36" ht="16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spans="1:36" ht="16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spans="1:36" ht="16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spans="1:36" ht="16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spans="1:36" ht="16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spans="1:36" ht="16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spans="1:36" ht="16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spans="1:36" ht="16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spans="1:36" ht="16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spans="1:36" ht="16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spans="1:36" ht="16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spans="1:36" ht="16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spans="1:36" ht="16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spans="1:36" ht="16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spans="1:36" ht="16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spans="1:36" ht="16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spans="1:36" ht="16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spans="1:36" ht="16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spans="1:36" ht="16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spans="1:36" ht="16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spans="1:36" ht="16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spans="1:36" ht="16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spans="1:36" ht="16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spans="1:36" ht="16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spans="1:36" ht="16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6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6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6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6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6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6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6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6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6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6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6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6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6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6" ht="16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6" ht="16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6" ht="16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6" ht="16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6" ht="16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6" ht="16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spans="1:36" ht="16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spans="1:36" ht="16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spans="1:36" ht="16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spans="1:36" ht="16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spans="1:36" ht="16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spans="1:36" ht="16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spans="1:36" ht="16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spans="1:36" ht="16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spans="1:36" ht="16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spans="1:36" ht="16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spans="1:36" ht="16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spans="1:36" ht="16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spans="1:36" ht="16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spans="1:36" ht="16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spans="1:36" ht="16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spans="1:36" ht="16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spans="1:36" ht="16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spans="1:36" ht="16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spans="1:36" ht="16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spans="1:36" ht="16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spans="1:36" ht="16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spans="1:36" ht="16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spans="1:36" ht="16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spans="1:36" ht="16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spans="1:36" ht="16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spans="1:36" ht="16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spans="1:36" ht="16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spans="1:36" ht="16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spans="1:36" ht="16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spans="1:36" ht="16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spans="1:36" ht="16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spans="1:36" ht="16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spans="1:36" ht="16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spans="1:36" ht="16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spans="1:36" ht="16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spans="1:36" ht="16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spans="1:36" ht="16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spans="1:36" ht="16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spans="1:36" ht="16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spans="1:36" ht="16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spans="1:36" ht="16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spans="1:36" ht="16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spans="1:36" ht="16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spans="1:36" ht="16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spans="1:36" ht="16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spans="1:36" ht="16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spans="1:36" ht="16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spans="1:36" ht="16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spans="1:36" ht="16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spans="1:36" ht="16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spans="1:36" ht="16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spans="1:36" ht="16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spans="1:36" ht="16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spans="1:36" ht="16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spans="1:36" ht="16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spans="1:36" ht="16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spans="1:36" ht="16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spans="1:36" ht="16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spans="1:36" ht="16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spans="1:36" ht="16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spans="1:36" ht="16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spans="1:36" ht="16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spans="1:36" ht="16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spans="1:36" ht="16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spans="1:36" ht="16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spans="1:36" ht="16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spans="1:36" ht="16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spans="1:36" ht="16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spans="1:36" ht="16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spans="1:36" ht="16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spans="1:36" ht="16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spans="1:36" ht="16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spans="1:36" ht="16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spans="1:36" ht="16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spans="1:36" ht="16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spans="1:36" ht="16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spans="1:36" ht="16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spans="1:36" ht="16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spans="1:36" ht="16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spans="1:36" ht="16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spans="1:36" ht="16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spans="1:36" ht="16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spans="1:36" ht="16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spans="1:36" ht="16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spans="1:36" ht="16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spans="1:36" ht="16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spans="1:36" ht="16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spans="1:36" ht="16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spans="1:36" ht="16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spans="1:36" ht="16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spans="1:36" ht="16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spans="1:36" ht="16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spans="1:36" ht="16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spans="1:36" ht="16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spans="1:36" ht="16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spans="1:36" ht="16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spans="1:36" ht="16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spans="1:36" ht="16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spans="1:36" ht="16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spans="1:36" ht="16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spans="1:36" ht="16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spans="1:36" ht="16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spans="1:36" ht="16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spans="1:36" ht="16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spans="1:36" ht="16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spans="1:36" ht="16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spans="1:36" ht="16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spans="1:36" ht="16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spans="1:36" ht="16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spans="1:36" ht="16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spans="1:36" ht="16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spans="1:36" ht="16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spans="1:36" ht="16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spans="1:36" ht="16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spans="1:36" ht="16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spans="1:36" ht="16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spans="1:36" ht="16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spans="1:36" ht="16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spans="1:36" ht="16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spans="1:36" ht="16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spans="1:36" ht="16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spans="1:36" ht="16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spans="1:36" ht="16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spans="1:36" ht="16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spans="1:36" ht="16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spans="1:36" ht="16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spans="1:36" ht="16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spans="1:36" ht="16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spans="1:36" ht="16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spans="1:36" ht="16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spans="1:36" ht="16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spans="1:36" ht="16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spans="1:36" ht="16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spans="1:36" ht="16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spans="1:36" ht="16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spans="1:36" ht="16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spans="1:36" ht="16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spans="1:36" ht="16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spans="1:36" ht="16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spans="1:36" ht="16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spans="1:36" ht="16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spans="1:36" ht="16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spans="1:36" ht="16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spans="1:36" ht="16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spans="1:36" ht="16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spans="1:36" ht="16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spans="1:36" ht="16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spans="1:36" ht="16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spans="1:36" ht="16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spans="1:36" ht="16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spans="1:36" ht="16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spans="1:36" ht="16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spans="1:36" ht="16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spans="1:36" ht="16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spans="1:36" ht="16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spans="1:36" ht="16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spans="1:36" ht="16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spans="1:36" ht="16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spans="1:36" ht="16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spans="1:36" ht="16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spans="1:36" ht="16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spans="1:36" ht="16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spans="1:36" ht="16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spans="1:36" ht="16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spans="1:36" ht="16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spans="1:36" ht="16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spans="1:36" ht="16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spans="1:36" ht="16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spans="1:36" ht="16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spans="1:36" ht="16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spans="1:36" ht="16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spans="1:36" ht="16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spans="1:36" ht="16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spans="1:36" ht="16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spans="1:36" ht="16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spans="1:36" ht="16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spans="1:36" ht="16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spans="1:36" ht="16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spans="1:36" ht="16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spans="1:36" ht="16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spans="1:36" ht="16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spans="1:36" ht="16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spans="1:36" ht="16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spans="1:36" ht="16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spans="1:36" ht="16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spans="1:36" ht="16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spans="1:36" ht="16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spans="1:36" ht="16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spans="1:36" ht="16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spans="1:36" ht="16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spans="1:36" ht="16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spans="1:36" ht="16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spans="1:36" ht="16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spans="1:36" ht="16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spans="1:36" ht="16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spans="1:36" ht="16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spans="1:36" ht="16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spans="1:36" ht="16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spans="1:36" ht="16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spans="1:36" ht="16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spans="1:36" ht="16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spans="1:36" ht="16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spans="1:36" ht="16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spans="1:36" ht="16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spans="1:36" ht="16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spans="1:36" ht="16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spans="1:36" ht="16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spans="1:36" ht="16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spans="1:36" ht="16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spans="1:36" ht="16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spans="1:36" ht="16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spans="1:36" ht="16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spans="1:36" ht="16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spans="1:36" ht="16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spans="1:36" ht="16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spans="1:36" ht="16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spans="1:36" ht="16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spans="1:36" ht="16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spans="1:36" ht="16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spans="1:36" ht="16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spans="1:36" ht="16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spans="1:36" ht="16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spans="1:36" ht="16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spans="1:36" ht="16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spans="1:36" ht="16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spans="1:36" ht="16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spans="1:36" ht="16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spans="1:36" ht="16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spans="1:36" ht="16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spans="1:36" ht="16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spans="1:36" ht="16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spans="1:36" ht="16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spans="1:36" ht="16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spans="1:36" ht="16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spans="1:36" ht="16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spans="1:36" ht="16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spans="1:36" ht="16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spans="1:36" ht="16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spans="1:36" ht="16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spans="1:36" ht="16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spans="1:36" ht="16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spans="1:36" ht="16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spans="1:36" ht="16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spans="1:36" ht="16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spans="1:36" ht="16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spans="1:36" ht="16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spans="1:36" ht="16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spans="1:36" ht="16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spans="1:36" ht="16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spans="1:36" ht="16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spans="1:36" ht="16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spans="1:36" ht="16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spans="1:36" ht="16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spans="1:36" ht="16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spans="1:36" ht="16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spans="1:36" ht="16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spans="1:36" ht="16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spans="1:36" ht="16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spans="1:36" ht="16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spans="1:36" ht="16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spans="1:36" ht="16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spans="1:36" ht="16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spans="1:36" ht="16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spans="1:36" ht="16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spans="1:36" ht="16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spans="1:36" ht="16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spans="1:36" ht="16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spans="1:36" ht="16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spans="1:36" ht="16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spans="1:36" ht="16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spans="1:36" ht="16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spans="1:36" ht="16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spans="1:36" ht="16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spans="1:36" ht="16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spans="1:36" ht="16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spans="1:36" ht="16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spans="1:36" ht="16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spans="1:36" ht="16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spans="1:36" ht="16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spans="1:36" ht="16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spans="1:36" ht="16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spans="1:36" ht="16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spans="1:36" ht="16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spans="1:36" ht="16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spans="1:36" ht="16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spans="1:36" ht="16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spans="1:36" ht="16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spans="1:36" ht="16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spans="1:36" ht="16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spans="1:36" ht="16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spans="1:36" ht="16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spans="1:36" ht="16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spans="1:36" ht="16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spans="1:36" ht="16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spans="1:36" ht="16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spans="1:36" ht="16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spans="1:36" ht="16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spans="1:36" ht="16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spans="1:36" ht="16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spans="1:36" ht="16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spans="1:36" ht="16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spans="1:36" ht="16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spans="1:36" ht="16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spans="1:36" ht="16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spans="1:36" ht="16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spans="1:36" ht="16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spans="1:36" ht="16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spans="1:36" ht="16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spans="1:36" ht="16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spans="1:36" ht="16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spans="1:36" ht="16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spans="1:36" ht="16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spans="1:36" ht="16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spans="1:36" ht="16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spans="1:36" ht="16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spans="1:36" ht="16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spans="1:36" ht="16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spans="1:36" ht="16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spans="1:36" ht="16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spans="1:36" ht="16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spans="1:36" ht="16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spans="1:36" ht="16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spans="1:36" ht="16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spans="1:36" ht="16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spans="1:36" ht="16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spans="1:36" ht="16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spans="1:36" ht="16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spans="1:36" ht="16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spans="1:36" ht="16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spans="1:36" ht="16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spans="1:36" ht="16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spans="1:36" ht="16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spans="1:36" ht="16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spans="1:36" ht="16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spans="1:36" ht="16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spans="1:36" ht="16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spans="1:36" ht="16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spans="1:36" ht="16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spans="1:36" ht="16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spans="1:36" ht="16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spans="1:36" ht="16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spans="1:36" ht="16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spans="1:36" ht="16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spans="1:36" ht="16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spans="1:36" ht="16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spans="1:36" ht="16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spans="1:36" ht="16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spans="1:36" ht="16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spans="1:36" ht="16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spans="1:36" ht="16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spans="1:36" ht="16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spans="1:36" ht="16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spans="1:36" ht="16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spans="1:36" ht="16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spans="1:36" ht="16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spans="1:36" ht="16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spans="1:36" ht="16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spans="1:36" ht="16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spans="1:36" ht="16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spans="1:36" ht="16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spans="1:36" ht="16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spans="1:36" ht="16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spans="1:36" ht="16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spans="1:36" ht="16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spans="1:36" ht="16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spans="1:36" ht="16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spans="1:36" ht="16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spans="1:36" ht="16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spans="1:36" ht="16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spans="1:36" ht="16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spans="1:36" ht="16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spans="1:36" ht="16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spans="1:36" ht="16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spans="1:36" ht="16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spans="1:36" ht="16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spans="1:36" ht="16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spans="1:36" ht="16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spans="1:36" ht="16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spans="1:36" ht="16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spans="1:36" ht="16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spans="1:36" ht="16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spans="1:36" ht="16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spans="1:36" ht="16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spans="1:36" ht="16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spans="1:36" ht="16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spans="1:36" ht="16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spans="1:36" ht="16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spans="1:36" ht="16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spans="1:36" ht="16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spans="1:36" ht="16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spans="1:36" ht="16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spans="1:36" ht="16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spans="1:36" ht="16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spans="1:36" ht="16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spans="1:36" ht="16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spans="1:36" ht="16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spans="1:36" ht="16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spans="1:36" ht="16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spans="1:36" ht="16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spans="1:36" ht="16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spans="1:36" ht="16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spans="1:36" ht="16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spans="1:36" ht="16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spans="1:36" ht="16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spans="1:36" ht="16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spans="1:36" ht="16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spans="1:36" ht="16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spans="1:36" ht="16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spans="1:36" ht="16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spans="1:36" ht="16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spans="1:36" ht="16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spans="1:36" ht="16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spans="1:36" ht="16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spans="1:36" ht="16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spans="1:36" ht="16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spans="1:36" ht="16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spans="1:36" ht="16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spans="1:36" ht="16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spans="1:36" ht="16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spans="1:36" ht="16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spans="1:36" ht="16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spans="1:36" ht="16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spans="1:36" ht="16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spans="1:36" ht="16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spans="1:36" ht="16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spans="1:36" ht="16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spans="1:36" ht="16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spans="1:36" ht="16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spans="1:36" ht="16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spans="1:36" ht="16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spans="1:36" ht="16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spans="1:36" ht="16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spans="1:36" ht="16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spans="1:36" ht="16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spans="1:36" ht="16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spans="1:36" ht="16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spans="1:36" ht="16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spans="1:36" ht="16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spans="1:36" ht="16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spans="1:36" ht="16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spans="1:36" ht="16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spans="1:36" ht="16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spans="1:36" ht="16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spans="1:36" ht="16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spans="1:36" ht="16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spans="1:36" ht="16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spans="1:36" ht="16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spans="1:36" ht="16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spans="1:36" ht="16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spans="1:36" ht="16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spans="1:36" ht="16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spans="1:36" ht="16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spans="1:36" ht="16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spans="1:36" ht="16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spans="1:36" ht="16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spans="1:36" ht="16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spans="1:36" ht="16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spans="1:36" ht="16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spans="1:36" ht="16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spans="1:36" ht="16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spans="1:36" ht="16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spans="1:36" ht="16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spans="1:36" ht="16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spans="1:36" ht="16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spans="1:36" ht="16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spans="1:36" ht="16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spans="1:36" ht="16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spans="1:36" ht="16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spans="1:36" ht="16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spans="1:36" ht="16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spans="1:36" ht="16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spans="1:36" ht="16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spans="1:36" ht="16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spans="1:36" ht="16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spans="1:36" ht="16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spans="1:36" ht="16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spans="1:36" ht="16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spans="1:36" ht="16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spans="1:36" ht="16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spans="1:36" ht="16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spans="1:36" ht="16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spans="1:36" ht="16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spans="1:36" ht="16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spans="1:36" ht="16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spans="1:36" ht="16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spans="1:36" ht="16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spans="1:36" ht="16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spans="1:36" ht="16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spans="1:36" ht="16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spans="1:36" ht="16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spans="1:36" ht="16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spans="1:36" ht="16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spans="1:36" ht="16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spans="1:36" ht="16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spans="1:36" ht="16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spans="1:36" ht="16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spans="1:36" ht="16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spans="1:36" ht="16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spans="1:36" ht="16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spans="1:36" ht="16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spans="1:36" ht="16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spans="1:36" ht="16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spans="1:36" ht="16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spans="1:36" ht="16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spans="1:36" ht="16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spans="1:36" ht="16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spans="1:36" ht="16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spans="1:36" ht="16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spans="1:36" ht="16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spans="1:36" ht="16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spans="1:36" ht="16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</sheetData>
  <mergeCells count="184">
    <mergeCell ref="M2:N2"/>
    <mergeCell ref="Q2:R2"/>
    <mergeCell ref="U2:W2"/>
    <mergeCell ref="C4:D4"/>
    <mergeCell ref="B5:D5"/>
    <mergeCell ref="B6:C6"/>
    <mergeCell ref="E6:F6"/>
    <mergeCell ref="H6:I6"/>
    <mergeCell ref="K6:L6"/>
    <mergeCell ref="B2:D2"/>
    <mergeCell ref="E2:F2"/>
    <mergeCell ref="I2:J2"/>
    <mergeCell ref="N6:O6"/>
    <mergeCell ref="Q6:R6"/>
    <mergeCell ref="T6:U6"/>
    <mergeCell ref="B7:D7"/>
    <mergeCell ref="B8:C8"/>
    <mergeCell ref="E8:F8"/>
    <mergeCell ref="H8:I8"/>
    <mergeCell ref="K8:L8"/>
    <mergeCell ref="N8:O8"/>
    <mergeCell ref="Q8:R8"/>
    <mergeCell ref="B11:D11"/>
    <mergeCell ref="B12:C12"/>
    <mergeCell ref="E12:F12"/>
    <mergeCell ref="H12:I12"/>
    <mergeCell ref="K12:L12"/>
    <mergeCell ref="N12:O12"/>
    <mergeCell ref="T8:U8"/>
    <mergeCell ref="B9:D9"/>
    <mergeCell ref="B10:C10"/>
    <mergeCell ref="E10:F10"/>
    <mergeCell ref="H10:I10"/>
    <mergeCell ref="K10:L10"/>
    <mergeCell ref="N10:O10"/>
    <mergeCell ref="Q10:R10"/>
    <mergeCell ref="T10:U10"/>
    <mergeCell ref="B15:D15"/>
    <mergeCell ref="B16:C16"/>
    <mergeCell ref="E16:F16"/>
    <mergeCell ref="H16:I16"/>
    <mergeCell ref="K16:L16"/>
    <mergeCell ref="N16:O16"/>
    <mergeCell ref="Q12:R12"/>
    <mergeCell ref="T12:U12"/>
    <mergeCell ref="B13:D13"/>
    <mergeCell ref="B14:C14"/>
    <mergeCell ref="E14:F14"/>
    <mergeCell ref="H14:I14"/>
    <mergeCell ref="K14:L14"/>
    <mergeCell ref="N14:O14"/>
    <mergeCell ref="Q14:R14"/>
    <mergeCell ref="T14:U14"/>
    <mergeCell ref="B19:D19"/>
    <mergeCell ref="B20:C20"/>
    <mergeCell ref="E20:F20"/>
    <mergeCell ref="H20:I20"/>
    <mergeCell ref="K20:L20"/>
    <mergeCell ref="N20:O20"/>
    <mergeCell ref="Q16:R16"/>
    <mergeCell ref="T16:U16"/>
    <mergeCell ref="B17:D17"/>
    <mergeCell ref="B18:C18"/>
    <mergeCell ref="E18:F18"/>
    <mergeCell ref="H18:I18"/>
    <mergeCell ref="K18:L18"/>
    <mergeCell ref="N18:O18"/>
    <mergeCell ref="Q18:R18"/>
    <mergeCell ref="T18:U18"/>
    <mergeCell ref="B23:D23"/>
    <mergeCell ref="B24:C24"/>
    <mergeCell ref="E24:F24"/>
    <mergeCell ref="H24:I24"/>
    <mergeCell ref="K24:L24"/>
    <mergeCell ref="N24:O24"/>
    <mergeCell ref="Q20:R20"/>
    <mergeCell ref="T20:U20"/>
    <mergeCell ref="B21:D21"/>
    <mergeCell ref="B22:C22"/>
    <mergeCell ref="E22:F22"/>
    <mergeCell ref="H22:I22"/>
    <mergeCell ref="K22:L22"/>
    <mergeCell ref="N22:O22"/>
    <mergeCell ref="Q22:R22"/>
    <mergeCell ref="T22:U22"/>
    <mergeCell ref="B27:D27"/>
    <mergeCell ref="B28:C28"/>
    <mergeCell ref="E28:F28"/>
    <mergeCell ref="H28:I28"/>
    <mergeCell ref="K28:L28"/>
    <mergeCell ref="N28:O28"/>
    <mergeCell ref="Q24:R24"/>
    <mergeCell ref="T24:U24"/>
    <mergeCell ref="B25:D25"/>
    <mergeCell ref="B26:C26"/>
    <mergeCell ref="E26:F26"/>
    <mergeCell ref="H26:I26"/>
    <mergeCell ref="K26:L26"/>
    <mergeCell ref="N26:O26"/>
    <mergeCell ref="Q26:R26"/>
    <mergeCell ref="T26:U26"/>
    <mergeCell ref="B31:D31"/>
    <mergeCell ref="B32:C32"/>
    <mergeCell ref="E32:F32"/>
    <mergeCell ref="H32:I32"/>
    <mergeCell ref="K32:L32"/>
    <mergeCell ref="N32:O32"/>
    <mergeCell ref="Q28:R28"/>
    <mergeCell ref="T28:U28"/>
    <mergeCell ref="B29:D29"/>
    <mergeCell ref="B30:C30"/>
    <mergeCell ref="E30:F30"/>
    <mergeCell ref="H30:I30"/>
    <mergeCell ref="K30:L30"/>
    <mergeCell ref="N30:O30"/>
    <mergeCell ref="Q30:R30"/>
    <mergeCell ref="T30:U30"/>
    <mergeCell ref="B35:D35"/>
    <mergeCell ref="B36:C36"/>
    <mergeCell ref="E36:F36"/>
    <mergeCell ref="H36:I36"/>
    <mergeCell ref="K36:L36"/>
    <mergeCell ref="N36:O36"/>
    <mergeCell ref="Q32:R32"/>
    <mergeCell ref="T32:U32"/>
    <mergeCell ref="B33:D33"/>
    <mergeCell ref="B34:C34"/>
    <mergeCell ref="E34:F34"/>
    <mergeCell ref="H34:I34"/>
    <mergeCell ref="K34:L34"/>
    <mergeCell ref="N34:O34"/>
    <mergeCell ref="Q34:R34"/>
    <mergeCell ref="T34:U34"/>
    <mergeCell ref="B39:D39"/>
    <mergeCell ref="B40:C40"/>
    <mergeCell ref="E40:F40"/>
    <mergeCell ref="H40:I40"/>
    <mergeCell ref="K40:L40"/>
    <mergeCell ref="N40:O40"/>
    <mergeCell ref="Q36:R36"/>
    <mergeCell ref="T36:U36"/>
    <mergeCell ref="B37:D37"/>
    <mergeCell ref="B38:C38"/>
    <mergeCell ref="E38:F38"/>
    <mergeCell ref="H38:I38"/>
    <mergeCell ref="K38:L38"/>
    <mergeCell ref="N38:O38"/>
    <mergeCell ref="Q38:R38"/>
    <mergeCell ref="T38:U38"/>
    <mergeCell ref="B43:D43"/>
    <mergeCell ref="B44:C44"/>
    <mergeCell ref="E44:F44"/>
    <mergeCell ref="H44:I44"/>
    <mergeCell ref="K44:L44"/>
    <mergeCell ref="N44:O44"/>
    <mergeCell ref="Q40:R40"/>
    <mergeCell ref="T40:U40"/>
    <mergeCell ref="B41:D41"/>
    <mergeCell ref="B42:C42"/>
    <mergeCell ref="E42:F42"/>
    <mergeCell ref="H42:I42"/>
    <mergeCell ref="K42:L42"/>
    <mergeCell ref="N42:O42"/>
    <mergeCell ref="Q42:R42"/>
    <mergeCell ref="T42:U42"/>
    <mergeCell ref="Q44:R44"/>
    <mergeCell ref="T44:U44"/>
    <mergeCell ref="B46:J46"/>
    <mergeCell ref="L46:U46"/>
    <mergeCell ref="B47:J53"/>
    <mergeCell ref="L47:S47"/>
    <mergeCell ref="T47:U47"/>
    <mergeCell ref="L48:S48"/>
    <mergeCell ref="T48:U48"/>
    <mergeCell ref="L49:S49"/>
    <mergeCell ref="L53:S53"/>
    <mergeCell ref="T53:U53"/>
    <mergeCell ref="T49:U49"/>
    <mergeCell ref="L50:S50"/>
    <mergeCell ref="T50:U50"/>
    <mergeCell ref="L51:S51"/>
    <mergeCell ref="T51:U51"/>
    <mergeCell ref="L52:S52"/>
    <mergeCell ref="T52:U52"/>
  </mergeCells>
  <conditionalFormatting sqref="E5:AI44">
    <cfRule type="cellIs" dxfId="131" priority="1" operator="equal">
      <formula>"H"</formula>
    </cfRule>
    <cfRule type="cellIs" dxfId="130" priority="7" operator="equal">
      <formula>"I"</formula>
    </cfRule>
    <cfRule type="cellIs" dxfId="129" priority="8" operator="equal">
      <formula>"T"</formula>
    </cfRule>
    <cfRule type="cellIs" dxfId="128" priority="9" operator="equal">
      <formula>"A"</formula>
    </cfRule>
  </conditionalFormatting>
  <conditionalFormatting sqref="G2 K2 O2">
    <cfRule type="cellIs" dxfId="127" priority="3" operator="equal">
      <formula>"I"</formula>
    </cfRule>
    <cfRule type="cellIs" dxfId="126" priority="13" operator="equal">
      <formula>"H"</formula>
    </cfRule>
    <cfRule type="cellIs" dxfId="125" priority="14" operator="equal">
      <formula>"T"</formula>
    </cfRule>
    <cfRule type="cellIs" dxfId="124" priority="15" operator="equal">
      <formula>"A"</formula>
    </cfRule>
  </conditionalFormatting>
  <conditionalFormatting sqref="S2">
    <cfRule type="cellIs" dxfId="123" priority="4" operator="equal">
      <formula>"H"</formula>
    </cfRule>
    <cfRule type="cellIs" dxfId="122" priority="5" operator="equal">
      <formula>"T"</formula>
    </cfRule>
    <cfRule type="cellIs" dxfId="121" priority="6" operator="equal">
      <formula>"A"</formula>
    </cfRule>
  </conditionalFormatting>
  <pageMargins left="0.4" right="0.4" top="0.4" bottom="0.4" header="0" footer="0"/>
  <pageSetup paperSize="3" scale="42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7CA0D-CFBB-42AE-B553-E0939EB8472C}">
  <sheetPr codeName="Sheet3">
    <tabColor rgb="FFF9F6CB"/>
    <outlinePr summaryBelow="0" summaryRight="0"/>
    <pageSetUpPr fitToPage="1"/>
  </sheetPr>
  <dimension ref="A1:AJ650"/>
  <sheetViews>
    <sheetView showGridLines="0" topLeftCell="G42" zoomScaleNormal="100" workbookViewId="0">
      <selection activeCell="L53" sqref="L53:S53"/>
    </sheetView>
  </sheetViews>
  <sheetFormatPr defaultColWidth="14.453125" defaultRowHeight="15.75" customHeight="1" x14ac:dyDescent="0.25"/>
  <cols>
    <col min="1" max="1" width="3.36328125" style="1" customWidth="1"/>
    <col min="2" max="2" width="19.36328125" style="1" customWidth="1"/>
    <col min="3" max="4" width="14.81640625" style="1" customWidth="1"/>
    <col min="5" max="35" width="7.81640625" style="1" customWidth="1"/>
    <col min="36" max="36" width="3.36328125" style="1" customWidth="1"/>
    <col min="37" max="16384" width="14.453125" style="1"/>
  </cols>
  <sheetData>
    <row r="1" spans="1:36" ht="50" customHeight="1" thickBot="1" x14ac:dyDescent="0.4">
      <c r="A1" s="2"/>
      <c r="B1" s="20" t="s">
        <v>48</v>
      </c>
      <c r="C1" s="2"/>
      <c r="D1" s="3"/>
      <c r="E1" s="4"/>
      <c r="F1" s="2"/>
      <c r="G1" s="3"/>
      <c r="H1" s="3"/>
      <c r="I1" s="2"/>
      <c r="J1" s="2"/>
      <c r="K1" s="3"/>
      <c r="L1" s="3"/>
      <c r="M1" s="2"/>
      <c r="N1" s="2"/>
      <c r="O1" s="3"/>
      <c r="P1" s="3"/>
      <c r="R1" s="2"/>
      <c r="S1" s="3"/>
      <c r="T1" s="3"/>
      <c r="V1" s="2"/>
      <c r="X1" s="2"/>
      <c r="Y1" s="2"/>
      <c r="Z1" s="2"/>
      <c r="AA1" s="2"/>
      <c r="AB1" s="2"/>
      <c r="AC1" s="2"/>
      <c r="AD1" s="2"/>
      <c r="AE1" s="2"/>
      <c r="AF1" s="2"/>
      <c r="AH1" s="2"/>
      <c r="AI1" s="2"/>
      <c r="AJ1" s="2"/>
    </row>
    <row r="2" spans="1:36" ht="44" customHeight="1" x14ac:dyDescent="0.35">
      <c r="A2" s="2"/>
      <c r="B2" s="76" t="s">
        <v>3</v>
      </c>
      <c r="C2" s="76"/>
      <c r="D2" s="77"/>
      <c r="E2" s="42" t="s">
        <v>4</v>
      </c>
      <c r="F2" s="43"/>
      <c r="G2" s="21" t="s">
        <v>8</v>
      </c>
      <c r="I2" s="44" t="s">
        <v>5</v>
      </c>
      <c r="J2" s="45"/>
      <c r="K2" s="11" t="s">
        <v>9</v>
      </c>
      <c r="M2" s="46" t="s">
        <v>7</v>
      </c>
      <c r="N2" s="47"/>
      <c r="O2" s="12" t="s">
        <v>10</v>
      </c>
      <c r="Q2" s="46" t="s">
        <v>6</v>
      </c>
      <c r="R2" s="47"/>
      <c r="S2" s="12" t="s">
        <v>0</v>
      </c>
      <c r="T2" s="23"/>
      <c r="U2" s="40"/>
      <c r="V2" s="40"/>
      <c r="W2" s="40"/>
      <c r="X2" s="22"/>
      <c r="AC2" s="2"/>
      <c r="AD2" s="2"/>
      <c r="AE2" s="2"/>
      <c r="AF2" s="2"/>
      <c r="AG2" s="2"/>
      <c r="AH2" s="2"/>
      <c r="AI2" s="2"/>
      <c r="AJ2" s="2"/>
    </row>
    <row r="3" spans="1:36" ht="16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ht="25" customHeight="1" x14ac:dyDescent="0.35">
      <c r="A4" s="2"/>
      <c r="B4" s="25" t="s">
        <v>16</v>
      </c>
      <c r="C4" s="73" t="s">
        <v>49</v>
      </c>
      <c r="D4" s="74"/>
      <c r="E4" s="24">
        <v>1</v>
      </c>
      <c r="F4" s="24">
        <v>2</v>
      </c>
      <c r="G4" s="24">
        <v>3</v>
      </c>
      <c r="H4" s="24">
        <v>4</v>
      </c>
      <c r="I4" s="24">
        <v>5</v>
      </c>
      <c r="J4" s="24">
        <v>6</v>
      </c>
      <c r="K4" s="24">
        <v>7</v>
      </c>
      <c r="L4" s="24">
        <v>8</v>
      </c>
      <c r="M4" s="24">
        <v>9</v>
      </c>
      <c r="N4" s="24">
        <v>10</v>
      </c>
      <c r="O4" s="24">
        <v>11</v>
      </c>
      <c r="P4" s="24">
        <v>12</v>
      </c>
      <c r="Q4" s="24">
        <v>13</v>
      </c>
      <c r="R4" s="24">
        <v>14</v>
      </c>
      <c r="S4" s="24">
        <v>15</v>
      </c>
      <c r="T4" s="24">
        <v>16</v>
      </c>
      <c r="U4" s="24">
        <v>17</v>
      </c>
      <c r="V4" s="24">
        <v>18</v>
      </c>
      <c r="W4" s="24">
        <v>19</v>
      </c>
      <c r="X4" s="24">
        <v>20</v>
      </c>
      <c r="Y4" s="24">
        <v>21</v>
      </c>
      <c r="Z4" s="24">
        <v>22</v>
      </c>
      <c r="AA4" s="24">
        <v>23</v>
      </c>
      <c r="AB4" s="24">
        <v>24</v>
      </c>
      <c r="AC4" s="24">
        <v>25</v>
      </c>
      <c r="AD4" s="24">
        <v>26</v>
      </c>
      <c r="AE4" s="24">
        <v>27</v>
      </c>
      <c r="AF4" s="24">
        <v>28</v>
      </c>
      <c r="AG4" s="2"/>
    </row>
    <row r="5" spans="1:36" ht="22" customHeight="1" x14ac:dyDescent="0.35">
      <c r="A5" s="2"/>
      <c r="B5" s="75" t="s">
        <v>22</v>
      </c>
      <c r="C5" s="75"/>
      <c r="D5" s="75"/>
      <c r="E5" s="16" t="s">
        <v>10</v>
      </c>
      <c r="F5" s="16" t="s">
        <v>0</v>
      </c>
      <c r="G5" s="17" t="s">
        <v>8</v>
      </c>
      <c r="H5" s="17" t="s">
        <v>8</v>
      </c>
      <c r="I5" s="17" t="s">
        <v>8</v>
      </c>
      <c r="J5" s="17" t="s">
        <v>8</v>
      </c>
      <c r="K5" s="17" t="s">
        <v>8</v>
      </c>
      <c r="L5" s="19" t="s">
        <v>8</v>
      </c>
      <c r="M5" s="19" t="s">
        <v>9</v>
      </c>
      <c r="N5" s="18" t="s">
        <v>9</v>
      </c>
      <c r="O5" s="18" t="s">
        <v>8</v>
      </c>
      <c r="P5" s="18" t="s">
        <v>9</v>
      </c>
      <c r="Q5" s="18" t="s">
        <v>8</v>
      </c>
      <c r="R5" s="18" t="s">
        <v>8</v>
      </c>
      <c r="S5" s="18" t="s">
        <v>8</v>
      </c>
      <c r="T5" s="18" t="s">
        <v>8</v>
      </c>
      <c r="U5" s="18" t="s">
        <v>9</v>
      </c>
      <c r="V5" s="18" t="s">
        <v>8</v>
      </c>
      <c r="W5" s="18" t="s">
        <v>8</v>
      </c>
      <c r="X5" s="18" t="s">
        <v>8</v>
      </c>
      <c r="Y5" s="18" t="s">
        <v>9</v>
      </c>
      <c r="Z5" s="18" t="s">
        <v>0</v>
      </c>
      <c r="AA5" s="18" t="s">
        <v>0</v>
      </c>
      <c r="AB5" s="18" t="s">
        <v>8</v>
      </c>
      <c r="AC5" s="18" t="s">
        <v>8</v>
      </c>
      <c r="AD5" s="18" t="s">
        <v>8</v>
      </c>
      <c r="AE5" s="18" t="s">
        <v>8</v>
      </c>
      <c r="AF5" s="18" t="s">
        <v>8</v>
      </c>
      <c r="AG5" s="2"/>
    </row>
    <row r="6" spans="1:36" s="8" customFormat="1" ht="22" customHeight="1" thickBot="1" x14ac:dyDescent="0.3">
      <c r="A6" s="6"/>
      <c r="B6" s="65" t="s">
        <v>18</v>
      </c>
      <c r="C6" s="66"/>
      <c r="D6" s="7" t="s">
        <v>17</v>
      </c>
      <c r="E6" s="67" t="s">
        <v>11</v>
      </c>
      <c r="F6" s="68"/>
      <c r="G6" s="13">
        <f>COUNTIF(E5:AF5,"H")</f>
        <v>19</v>
      </c>
      <c r="H6" s="67" t="s">
        <v>12</v>
      </c>
      <c r="I6" s="68"/>
      <c r="J6" s="13">
        <f>COUNTIF(E5:AF5,"T")</f>
        <v>5</v>
      </c>
      <c r="K6" s="67" t="s">
        <v>13</v>
      </c>
      <c r="L6" s="68"/>
      <c r="M6" s="13">
        <f>COUNTIF(E5:AF5,"A") + COUNTIF(E5:AF5,"I")</f>
        <v>4</v>
      </c>
      <c r="N6" s="67" t="s">
        <v>14</v>
      </c>
      <c r="O6" s="68"/>
      <c r="P6" s="13">
        <f>IF((G6+J6+M6)=0,0,(G6+J6)/(G6+J6+M6)*100)</f>
        <v>85.714285714285708</v>
      </c>
      <c r="Q6" s="67"/>
      <c r="R6" s="68"/>
      <c r="S6" s="13"/>
      <c r="T6" s="67"/>
      <c r="U6" s="68"/>
      <c r="V6" s="14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6"/>
    </row>
    <row r="7" spans="1:36" ht="22" customHeight="1" x14ac:dyDescent="0.25">
      <c r="A7" s="5"/>
      <c r="B7" s="72" t="s">
        <v>23</v>
      </c>
      <c r="C7" s="72"/>
      <c r="D7" s="72"/>
      <c r="E7" s="16" t="s">
        <v>8</v>
      </c>
      <c r="F7" s="16" t="s">
        <v>0</v>
      </c>
      <c r="G7" s="17" t="s">
        <v>8</v>
      </c>
      <c r="H7" s="17" t="s">
        <v>8</v>
      </c>
      <c r="I7" s="17" t="s">
        <v>8</v>
      </c>
      <c r="J7" s="17" t="s">
        <v>8</v>
      </c>
      <c r="K7" s="17" t="s">
        <v>8</v>
      </c>
      <c r="L7" s="19" t="s">
        <v>8</v>
      </c>
      <c r="M7" s="19" t="s">
        <v>9</v>
      </c>
      <c r="N7" s="18" t="s">
        <v>9</v>
      </c>
      <c r="O7" s="18" t="s">
        <v>8</v>
      </c>
      <c r="P7" s="18" t="s">
        <v>9</v>
      </c>
      <c r="Q7" s="18" t="s">
        <v>8</v>
      </c>
      <c r="R7" s="18" t="s">
        <v>8</v>
      </c>
      <c r="S7" s="18" t="s">
        <v>8</v>
      </c>
      <c r="T7" s="18" t="s">
        <v>8</v>
      </c>
      <c r="U7" s="18" t="s">
        <v>9</v>
      </c>
      <c r="V7" s="18" t="s">
        <v>8</v>
      </c>
      <c r="W7" s="18" t="s">
        <v>8</v>
      </c>
      <c r="X7" s="18" t="s">
        <v>8</v>
      </c>
      <c r="Y7" s="18" t="s">
        <v>9</v>
      </c>
      <c r="Z7" s="18" t="s">
        <v>0</v>
      </c>
      <c r="AA7" s="18" t="s">
        <v>0</v>
      </c>
      <c r="AB7" s="18" t="s">
        <v>8</v>
      </c>
      <c r="AC7" s="18" t="s">
        <v>8</v>
      </c>
      <c r="AD7" s="18" t="s">
        <v>8</v>
      </c>
      <c r="AE7" s="18" t="s">
        <v>8</v>
      </c>
      <c r="AF7" s="18" t="s">
        <v>8</v>
      </c>
      <c r="AG7" s="5"/>
    </row>
    <row r="8" spans="1:36" s="8" customFormat="1" ht="22" customHeight="1" thickBot="1" x14ac:dyDescent="0.3">
      <c r="A8" s="6"/>
      <c r="B8" s="65" t="s">
        <v>18</v>
      </c>
      <c r="C8" s="66"/>
      <c r="D8" s="7" t="s">
        <v>17</v>
      </c>
      <c r="E8" s="67" t="s">
        <v>11</v>
      </c>
      <c r="F8" s="68"/>
      <c r="G8" s="13">
        <f>COUNTIF(E7:AF7,"H")</f>
        <v>20</v>
      </c>
      <c r="H8" s="67" t="s">
        <v>12</v>
      </c>
      <c r="I8" s="68"/>
      <c r="J8" s="13">
        <f>COUNTIF(E7:AF7,"T")</f>
        <v>5</v>
      </c>
      <c r="K8" s="67" t="s">
        <v>13</v>
      </c>
      <c r="L8" s="68"/>
      <c r="M8" s="13">
        <f>COUNTIF(E7:AF7,"A") + COUNTIF(E7:AF7,"I")</f>
        <v>3</v>
      </c>
      <c r="N8" s="67" t="s">
        <v>14</v>
      </c>
      <c r="O8" s="68"/>
      <c r="P8" s="13">
        <f>IF((G8+J8+M8)=0,0,(G8+J8)/(G8+J8+M8)*100)</f>
        <v>89.285714285714292</v>
      </c>
      <c r="Q8" s="67"/>
      <c r="R8" s="68"/>
      <c r="S8" s="13"/>
      <c r="T8" s="67"/>
      <c r="U8" s="68"/>
      <c r="V8" s="14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6"/>
    </row>
    <row r="9" spans="1:36" ht="22" customHeight="1" x14ac:dyDescent="0.35">
      <c r="A9" s="2"/>
      <c r="B9" s="72" t="s">
        <v>24</v>
      </c>
      <c r="C9" s="72"/>
      <c r="D9" s="72"/>
      <c r="E9" s="16" t="s">
        <v>8</v>
      </c>
      <c r="F9" s="16" t="s">
        <v>8</v>
      </c>
      <c r="G9" s="17" t="s">
        <v>8</v>
      </c>
      <c r="H9" s="17" t="s">
        <v>8</v>
      </c>
      <c r="I9" s="17" t="s">
        <v>0</v>
      </c>
      <c r="J9" s="17" t="s">
        <v>8</v>
      </c>
      <c r="K9" s="17" t="s">
        <v>9</v>
      </c>
      <c r="L9" s="19" t="s">
        <v>8</v>
      </c>
      <c r="M9" s="19" t="s">
        <v>9</v>
      </c>
      <c r="N9" s="18" t="s">
        <v>8</v>
      </c>
      <c r="O9" s="18" t="s">
        <v>8</v>
      </c>
      <c r="P9" s="18" t="s">
        <v>9</v>
      </c>
      <c r="Q9" s="18" t="s">
        <v>8</v>
      </c>
      <c r="R9" s="18" t="s">
        <v>8</v>
      </c>
      <c r="S9" s="18" t="s">
        <v>9</v>
      </c>
      <c r="T9" s="18" t="s">
        <v>9</v>
      </c>
      <c r="U9" s="18" t="s">
        <v>9</v>
      </c>
      <c r="V9" s="18" t="s">
        <v>0</v>
      </c>
      <c r="W9" s="18" t="s">
        <v>8</v>
      </c>
      <c r="X9" s="18" t="s">
        <v>8</v>
      </c>
      <c r="Y9" s="18" t="s">
        <v>9</v>
      </c>
      <c r="Z9" s="18" t="s">
        <v>0</v>
      </c>
      <c r="AA9" s="18" t="s">
        <v>0</v>
      </c>
      <c r="AB9" s="18" t="s">
        <v>8</v>
      </c>
      <c r="AC9" s="18" t="s">
        <v>8</v>
      </c>
      <c r="AD9" s="18" t="s">
        <v>8</v>
      </c>
      <c r="AE9" s="18" t="s">
        <v>8</v>
      </c>
      <c r="AF9" s="18" t="s">
        <v>8</v>
      </c>
      <c r="AG9" s="2"/>
    </row>
    <row r="10" spans="1:36" s="8" customFormat="1" ht="22" customHeight="1" thickBot="1" x14ac:dyDescent="0.3">
      <c r="A10" s="6"/>
      <c r="B10" s="65" t="s">
        <v>18</v>
      </c>
      <c r="C10" s="66"/>
      <c r="D10" s="7" t="s">
        <v>17</v>
      </c>
      <c r="E10" s="67" t="s">
        <v>11</v>
      </c>
      <c r="F10" s="68"/>
      <c r="G10" s="13">
        <f>COUNTIF(E9:AF9,"H")</f>
        <v>17</v>
      </c>
      <c r="H10" s="67" t="s">
        <v>12</v>
      </c>
      <c r="I10" s="68"/>
      <c r="J10" s="13">
        <f>COUNTIF(E9:AF9,"T")</f>
        <v>7</v>
      </c>
      <c r="K10" s="67" t="s">
        <v>13</v>
      </c>
      <c r="L10" s="68"/>
      <c r="M10" s="13">
        <f>COUNTIF(E9:AF9,"A") + COUNTIF(E9:AF9,"I")</f>
        <v>4</v>
      </c>
      <c r="N10" s="67" t="s">
        <v>14</v>
      </c>
      <c r="O10" s="68"/>
      <c r="P10" s="13">
        <f>IF((G10+J10+M10)=0,0,(G10+J10)/(G10+J10+M10)*100)</f>
        <v>85.714285714285708</v>
      </c>
      <c r="Q10" s="67"/>
      <c r="R10" s="68"/>
      <c r="S10" s="13"/>
      <c r="T10" s="67"/>
      <c r="U10" s="68"/>
      <c r="V10" s="14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6"/>
    </row>
    <row r="11" spans="1:36" s="10" customFormat="1" ht="22" customHeight="1" x14ac:dyDescent="0.25">
      <c r="A11" s="9"/>
      <c r="B11" s="72" t="s">
        <v>25</v>
      </c>
      <c r="C11" s="72"/>
      <c r="D11" s="72"/>
      <c r="E11" s="16" t="s">
        <v>8</v>
      </c>
      <c r="F11" s="16" t="s">
        <v>0</v>
      </c>
      <c r="G11" s="17" t="s">
        <v>8</v>
      </c>
      <c r="H11" s="17" t="s">
        <v>8</v>
      </c>
      <c r="I11" s="17" t="s">
        <v>8</v>
      </c>
      <c r="J11" s="17" t="s">
        <v>8</v>
      </c>
      <c r="K11" s="17" t="s">
        <v>8</v>
      </c>
      <c r="L11" s="19" t="s">
        <v>8</v>
      </c>
      <c r="M11" s="19" t="s">
        <v>8</v>
      </c>
      <c r="N11" s="18" t="s">
        <v>8</v>
      </c>
      <c r="O11" s="18" t="s">
        <v>8</v>
      </c>
      <c r="P11" s="18" t="s">
        <v>8</v>
      </c>
      <c r="Q11" s="18" t="s">
        <v>8</v>
      </c>
      <c r="R11" s="18" t="s">
        <v>8</v>
      </c>
      <c r="S11" s="18" t="s">
        <v>8</v>
      </c>
      <c r="T11" s="18" t="s">
        <v>8</v>
      </c>
      <c r="U11" s="18" t="s">
        <v>9</v>
      </c>
      <c r="V11" s="18" t="s">
        <v>8</v>
      </c>
      <c r="W11" s="18" t="s">
        <v>8</v>
      </c>
      <c r="X11" s="18" t="s">
        <v>8</v>
      </c>
      <c r="Y11" s="18" t="s">
        <v>8</v>
      </c>
      <c r="Z11" s="18" t="s">
        <v>8</v>
      </c>
      <c r="AA11" s="18" t="s">
        <v>8</v>
      </c>
      <c r="AB11" s="18" t="s">
        <v>8</v>
      </c>
      <c r="AC11" s="18" t="s">
        <v>8</v>
      </c>
      <c r="AD11" s="18" t="s">
        <v>8</v>
      </c>
      <c r="AE11" s="18" t="s">
        <v>8</v>
      </c>
      <c r="AF11" s="18" t="s">
        <v>8</v>
      </c>
      <c r="AG11" s="9"/>
    </row>
    <row r="12" spans="1:36" s="8" customFormat="1" ht="22" customHeight="1" thickBot="1" x14ac:dyDescent="0.3">
      <c r="A12" s="6"/>
      <c r="B12" s="65" t="s">
        <v>18</v>
      </c>
      <c r="C12" s="66"/>
      <c r="D12" s="7" t="s">
        <v>17</v>
      </c>
      <c r="E12" s="67" t="s">
        <v>11</v>
      </c>
      <c r="F12" s="68"/>
      <c r="G12" s="13">
        <f>COUNTIF(E11:AF11,"H")</f>
        <v>26</v>
      </c>
      <c r="H12" s="67" t="s">
        <v>12</v>
      </c>
      <c r="I12" s="68"/>
      <c r="J12" s="13">
        <f>COUNTIF(E11:AF11,"T")</f>
        <v>1</v>
      </c>
      <c r="K12" s="67" t="s">
        <v>13</v>
      </c>
      <c r="L12" s="68"/>
      <c r="M12" s="13">
        <f>COUNTIF(E11:AF11,"A") + COUNTIF(E11:AF11,"I")</f>
        <v>1</v>
      </c>
      <c r="N12" s="67" t="s">
        <v>14</v>
      </c>
      <c r="O12" s="68"/>
      <c r="P12" s="13">
        <f>IF((G12+J12+M12)=0,0,(G12+J12)/(G12+J12+M12)*100)</f>
        <v>96.428571428571431</v>
      </c>
      <c r="Q12" s="67"/>
      <c r="R12" s="68"/>
      <c r="S12" s="13"/>
      <c r="T12" s="67"/>
      <c r="U12" s="68"/>
      <c r="V12" s="14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6"/>
    </row>
    <row r="13" spans="1:36" s="10" customFormat="1" ht="22" customHeight="1" x14ac:dyDescent="0.25">
      <c r="A13" s="9"/>
      <c r="B13" s="72" t="s">
        <v>26</v>
      </c>
      <c r="C13" s="72"/>
      <c r="D13" s="72"/>
      <c r="E13" s="16" t="s">
        <v>8</v>
      </c>
      <c r="F13" s="16" t="s">
        <v>8</v>
      </c>
      <c r="G13" s="17" t="s">
        <v>8</v>
      </c>
      <c r="H13" s="17" t="s">
        <v>8</v>
      </c>
      <c r="I13" s="17" t="s">
        <v>8</v>
      </c>
      <c r="J13" s="17" t="s">
        <v>0</v>
      </c>
      <c r="K13" s="17" t="s">
        <v>8</v>
      </c>
      <c r="L13" s="19" t="s">
        <v>8</v>
      </c>
      <c r="M13" s="19" t="s">
        <v>8</v>
      </c>
      <c r="N13" s="18" t="s">
        <v>8</v>
      </c>
      <c r="O13" s="18" t="s">
        <v>8</v>
      </c>
      <c r="P13" s="18" t="s">
        <v>9</v>
      </c>
      <c r="Q13" s="18" t="s">
        <v>8</v>
      </c>
      <c r="R13" s="18" t="s">
        <v>8</v>
      </c>
      <c r="S13" s="18" t="s">
        <v>8</v>
      </c>
      <c r="T13" s="18" t="s">
        <v>0</v>
      </c>
      <c r="U13" s="18" t="s">
        <v>9</v>
      </c>
      <c r="V13" s="18" t="s">
        <v>8</v>
      </c>
      <c r="W13" s="18" t="s">
        <v>8</v>
      </c>
      <c r="X13" s="18" t="s">
        <v>0</v>
      </c>
      <c r="Y13" s="18" t="s">
        <v>9</v>
      </c>
      <c r="Z13" s="18" t="s">
        <v>8</v>
      </c>
      <c r="AA13" s="18" t="s">
        <v>8</v>
      </c>
      <c r="AB13" s="18" t="s">
        <v>8</v>
      </c>
      <c r="AC13" s="18" t="s">
        <v>8</v>
      </c>
      <c r="AD13" s="18" t="s">
        <v>8</v>
      </c>
      <c r="AE13" s="18" t="s">
        <v>8</v>
      </c>
      <c r="AF13" s="18" t="s">
        <v>8</v>
      </c>
      <c r="AG13" s="9"/>
    </row>
    <row r="14" spans="1:36" s="8" customFormat="1" ht="22" customHeight="1" thickBot="1" x14ac:dyDescent="0.3">
      <c r="A14" s="6"/>
      <c r="B14" s="65" t="s">
        <v>18</v>
      </c>
      <c r="C14" s="66"/>
      <c r="D14" s="7" t="s">
        <v>17</v>
      </c>
      <c r="E14" s="67" t="s">
        <v>11</v>
      </c>
      <c r="F14" s="68"/>
      <c r="G14" s="13">
        <f>COUNTIF(E13:AF13,"H")</f>
        <v>22</v>
      </c>
      <c r="H14" s="67" t="s">
        <v>12</v>
      </c>
      <c r="I14" s="68"/>
      <c r="J14" s="13">
        <f>COUNTIF(E13:AF13,"T")</f>
        <v>3</v>
      </c>
      <c r="K14" s="67" t="s">
        <v>13</v>
      </c>
      <c r="L14" s="68"/>
      <c r="M14" s="13">
        <f>COUNTIF(E13:AF13,"A") + COUNTIF(E13:AF13,"I")</f>
        <v>3</v>
      </c>
      <c r="N14" s="67" t="s">
        <v>14</v>
      </c>
      <c r="O14" s="68"/>
      <c r="P14" s="13">
        <f>IF((G14+J14+M14)=0,0,(G14+J14)/(G14+J14+M14)*100)</f>
        <v>89.285714285714292</v>
      </c>
      <c r="Q14" s="67"/>
      <c r="R14" s="68"/>
      <c r="S14" s="13"/>
      <c r="T14" s="67"/>
      <c r="U14" s="68"/>
      <c r="V14" s="14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6"/>
    </row>
    <row r="15" spans="1:36" s="10" customFormat="1" ht="22" customHeight="1" x14ac:dyDescent="0.25">
      <c r="A15" s="9"/>
      <c r="B15" s="72" t="s">
        <v>27</v>
      </c>
      <c r="C15" s="72"/>
      <c r="D15" s="72"/>
      <c r="E15" s="16" t="s">
        <v>8</v>
      </c>
      <c r="F15" s="16" t="s">
        <v>0</v>
      </c>
      <c r="G15" s="17" t="s">
        <v>8</v>
      </c>
      <c r="H15" s="17" t="s">
        <v>8</v>
      </c>
      <c r="I15" s="17" t="s">
        <v>8</v>
      </c>
      <c r="J15" s="17" t="s">
        <v>8</v>
      </c>
      <c r="K15" s="17" t="s">
        <v>8</v>
      </c>
      <c r="L15" s="19" t="s">
        <v>8</v>
      </c>
      <c r="M15" s="19" t="s">
        <v>9</v>
      </c>
      <c r="N15" s="18" t="s">
        <v>9</v>
      </c>
      <c r="O15" s="18" t="s">
        <v>8</v>
      </c>
      <c r="P15" s="18" t="s">
        <v>9</v>
      </c>
      <c r="Q15" s="18" t="s">
        <v>8</v>
      </c>
      <c r="R15" s="18" t="s">
        <v>8</v>
      </c>
      <c r="S15" s="18" t="s">
        <v>8</v>
      </c>
      <c r="T15" s="18" t="s">
        <v>8</v>
      </c>
      <c r="U15" s="18" t="s">
        <v>9</v>
      </c>
      <c r="V15" s="18" t="s">
        <v>8</v>
      </c>
      <c r="W15" s="18" t="s">
        <v>8</v>
      </c>
      <c r="X15" s="18" t="s">
        <v>8</v>
      </c>
      <c r="Y15" s="18" t="s">
        <v>9</v>
      </c>
      <c r="Z15" s="18" t="s">
        <v>0</v>
      </c>
      <c r="AA15" s="18" t="s">
        <v>0</v>
      </c>
      <c r="AB15" s="18" t="s">
        <v>8</v>
      </c>
      <c r="AC15" s="18" t="s">
        <v>8</v>
      </c>
      <c r="AD15" s="18" t="s">
        <v>8</v>
      </c>
      <c r="AE15" s="18" t="s">
        <v>8</v>
      </c>
      <c r="AF15" s="18" t="s">
        <v>8</v>
      </c>
      <c r="AG15" s="9"/>
    </row>
    <row r="16" spans="1:36" s="8" customFormat="1" ht="22" customHeight="1" thickBot="1" x14ac:dyDescent="0.3">
      <c r="A16" s="6"/>
      <c r="B16" s="65" t="s">
        <v>18</v>
      </c>
      <c r="C16" s="66"/>
      <c r="D16" s="7" t="s">
        <v>17</v>
      </c>
      <c r="E16" s="67" t="s">
        <v>11</v>
      </c>
      <c r="F16" s="68"/>
      <c r="G16" s="13">
        <f>COUNTIF(E15:AF15,"H")</f>
        <v>20</v>
      </c>
      <c r="H16" s="67" t="s">
        <v>12</v>
      </c>
      <c r="I16" s="68"/>
      <c r="J16" s="13">
        <f>COUNTIF(E15:AF15,"T")</f>
        <v>5</v>
      </c>
      <c r="K16" s="67" t="s">
        <v>13</v>
      </c>
      <c r="L16" s="68"/>
      <c r="M16" s="13">
        <f>COUNTIF(E15:AF15,"A") + COUNTIF(E15:AF15,"I")</f>
        <v>3</v>
      </c>
      <c r="N16" s="67" t="s">
        <v>14</v>
      </c>
      <c r="O16" s="68"/>
      <c r="P16" s="13">
        <f>IF((G16+J16+M16)=0,0,(G16+J16)/(G16+J16+M16)*100)</f>
        <v>89.285714285714292</v>
      </c>
      <c r="Q16" s="67"/>
      <c r="R16" s="68"/>
      <c r="S16" s="13"/>
      <c r="T16" s="67"/>
      <c r="U16" s="68"/>
      <c r="V16" s="14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6"/>
    </row>
    <row r="17" spans="1:33" s="10" customFormat="1" ht="22" customHeight="1" x14ac:dyDescent="0.25">
      <c r="A17" s="9"/>
      <c r="B17" s="72" t="s">
        <v>28</v>
      </c>
      <c r="C17" s="72"/>
      <c r="D17" s="72"/>
      <c r="E17" s="16" t="s">
        <v>8</v>
      </c>
      <c r="F17" s="16" t="s">
        <v>0</v>
      </c>
      <c r="G17" s="17" t="s">
        <v>8</v>
      </c>
      <c r="H17" s="17" t="s">
        <v>8</v>
      </c>
      <c r="I17" s="17" t="s">
        <v>8</v>
      </c>
      <c r="J17" s="17" t="s">
        <v>8</v>
      </c>
      <c r="K17" s="17" t="s">
        <v>8</v>
      </c>
      <c r="L17" s="19" t="s">
        <v>8</v>
      </c>
      <c r="M17" s="19" t="s">
        <v>9</v>
      </c>
      <c r="N17" s="18" t="s">
        <v>9</v>
      </c>
      <c r="O17" s="18" t="s">
        <v>8</v>
      </c>
      <c r="P17" s="18" t="s">
        <v>9</v>
      </c>
      <c r="Q17" s="18" t="s">
        <v>8</v>
      </c>
      <c r="R17" s="18" t="s">
        <v>8</v>
      </c>
      <c r="S17" s="18" t="s">
        <v>8</v>
      </c>
      <c r="T17" s="18" t="s">
        <v>8</v>
      </c>
      <c r="U17" s="18" t="s">
        <v>9</v>
      </c>
      <c r="V17" s="18" t="s">
        <v>8</v>
      </c>
      <c r="W17" s="18" t="s">
        <v>8</v>
      </c>
      <c r="X17" s="18" t="s">
        <v>8</v>
      </c>
      <c r="Y17" s="18" t="s">
        <v>9</v>
      </c>
      <c r="Z17" s="18" t="s">
        <v>0</v>
      </c>
      <c r="AA17" s="18" t="s">
        <v>0</v>
      </c>
      <c r="AB17" s="18" t="s">
        <v>8</v>
      </c>
      <c r="AC17" s="18" t="s">
        <v>8</v>
      </c>
      <c r="AD17" s="18" t="s">
        <v>8</v>
      </c>
      <c r="AE17" s="18" t="s">
        <v>8</v>
      </c>
      <c r="AF17" s="18" t="s">
        <v>8</v>
      </c>
      <c r="AG17" s="9"/>
    </row>
    <row r="18" spans="1:33" s="8" customFormat="1" ht="22" customHeight="1" thickBot="1" x14ac:dyDescent="0.3">
      <c r="A18" s="6"/>
      <c r="B18" s="65" t="s">
        <v>18</v>
      </c>
      <c r="C18" s="66"/>
      <c r="D18" s="7" t="s">
        <v>17</v>
      </c>
      <c r="E18" s="67" t="s">
        <v>11</v>
      </c>
      <c r="F18" s="68"/>
      <c r="G18" s="13">
        <f>COUNTIF(E17:AF17,"H")</f>
        <v>20</v>
      </c>
      <c r="H18" s="67" t="s">
        <v>12</v>
      </c>
      <c r="I18" s="68"/>
      <c r="J18" s="13">
        <f>COUNTIF(E17:AF17,"T")</f>
        <v>5</v>
      </c>
      <c r="K18" s="67" t="s">
        <v>13</v>
      </c>
      <c r="L18" s="68"/>
      <c r="M18" s="13">
        <f>COUNTIF(E17:AF17,"A") + COUNTIF(E17:AF17,"I")</f>
        <v>3</v>
      </c>
      <c r="N18" s="67" t="s">
        <v>14</v>
      </c>
      <c r="O18" s="68"/>
      <c r="P18" s="13">
        <f>IF((G18+J18+M18)=0,0,(G18+J18)/(G18+J18+M18)*100)</f>
        <v>89.285714285714292</v>
      </c>
      <c r="Q18" s="67"/>
      <c r="R18" s="68"/>
      <c r="S18" s="13"/>
      <c r="T18" s="67"/>
      <c r="U18" s="68"/>
      <c r="V18" s="14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6"/>
    </row>
    <row r="19" spans="1:33" s="10" customFormat="1" ht="22" customHeight="1" x14ac:dyDescent="0.25">
      <c r="A19" s="9"/>
      <c r="B19" s="72" t="s">
        <v>29</v>
      </c>
      <c r="C19" s="72"/>
      <c r="D19" s="72"/>
      <c r="E19" s="16" t="s">
        <v>8</v>
      </c>
      <c r="F19" s="16" t="s">
        <v>0</v>
      </c>
      <c r="G19" s="17" t="s">
        <v>8</v>
      </c>
      <c r="H19" s="17" t="s">
        <v>8</v>
      </c>
      <c r="I19" s="17" t="s">
        <v>8</v>
      </c>
      <c r="J19" s="17" t="s">
        <v>8</v>
      </c>
      <c r="K19" s="17" t="s">
        <v>8</v>
      </c>
      <c r="L19" s="19" t="s">
        <v>8</v>
      </c>
      <c r="M19" s="19" t="s">
        <v>9</v>
      </c>
      <c r="N19" s="18" t="s">
        <v>9</v>
      </c>
      <c r="O19" s="18" t="s">
        <v>8</v>
      </c>
      <c r="P19" s="18" t="s">
        <v>9</v>
      </c>
      <c r="Q19" s="18" t="s">
        <v>8</v>
      </c>
      <c r="R19" s="18" t="s">
        <v>8</v>
      </c>
      <c r="S19" s="18" t="s">
        <v>8</v>
      </c>
      <c r="T19" s="18" t="s">
        <v>8</v>
      </c>
      <c r="U19" s="18" t="s">
        <v>9</v>
      </c>
      <c r="V19" s="18" t="s">
        <v>8</v>
      </c>
      <c r="W19" s="18" t="s">
        <v>8</v>
      </c>
      <c r="X19" s="18" t="s">
        <v>8</v>
      </c>
      <c r="Y19" s="18" t="s">
        <v>9</v>
      </c>
      <c r="Z19" s="18" t="s">
        <v>0</v>
      </c>
      <c r="AA19" s="18" t="s">
        <v>0</v>
      </c>
      <c r="AB19" s="18" t="s">
        <v>8</v>
      </c>
      <c r="AC19" s="18" t="s">
        <v>8</v>
      </c>
      <c r="AD19" s="18" t="s">
        <v>8</v>
      </c>
      <c r="AE19" s="18" t="s">
        <v>8</v>
      </c>
      <c r="AF19" s="18" t="s">
        <v>8</v>
      </c>
      <c r="AG19" s="9"/>
    </row>
    <row r="20" spans="1:33" s="8" customFormat="1" ht="22" customHeight="1" thickBot="1" x14ac:dyDescent="0.3">
      <c r="A20" s="6"/>
      <c r="B20" s="65" t="s">
        <v>18</v>
      </c>
      <c r="C20" s="66"/>
      <c r="D20" s="7" t="s">
        <v>17</v>
      </c>
      <c r="E20" s="67" t="s">
        <v>11</v>
      </c>
      <c r="F20" s="68"/>
      <c r="G20" s="13">
        <f>COUNTIF(E19:AF19,"H")</f>
        <v>20</v>
      </c>
      <c r="H20" s="67" t="s">
        <v>12</v>
      </c>
      <c r="I20" s="68"/>
      <c r="J20" s="13">
        <f>COUNTIF(E19:AF19,"T")</f>
        <v>5</v>
      </c>
      <c r="K20" s="67" t="s">
        <v>13</v>
      </c>
      <c r="L20" s="68"/>
      <c r="M20" s="13">
        <f>COUNTIF(E19:AF19,"A") + COUNTIF(E19:AF19,"I")</f>
        <v>3</v>
      </c>
      <c r="N20" s="67" t="s">
        <v>14</v>
      </c>
      <c r="O20" s="68"/>
      <c r="P20" s="13">
        <f>IF((G20+J20+M20)=0,0,(G20+J20)/(G20+J20+M20)*100)</f>
        <v>89.285714285714292</v>
      </c>
      <c r="Q20" s="67"/>
      <c r="R20" s="68"/>
      <c r="S20" s="13"/>
      <c r="T20" s="67"/>
      <c r="U20" s="68"/>
      <c r="V20" s="14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6"/>
    </row>
    <row r="21" spans="1:33" ht="22" customHeight="1" x14ac:dyDescent="0.35">
      <c r="A21" s="2"/>
      <c r="B21" s="72" t="s">
        <v>30</v>
      </c>
      <c r="C21" s="72"/>
      <c r="D21" s="72"/>
      <c r="E21" s="16" t="s">
        <v>8</v>
      </c>
      <c r="F21" s="16" t="s">
        <v>0</v>
      </c>
      <c r="G21" s="17" t="s">
        <v>8</v>
      </c>
      <c r="H21" s="17" t="s">
        <v>8</v>
      </c>
      <c r="I21" s="17" t="s">
        <v>8</v>
      </c>
      <c r="J21" s="17" t="s">
        <v>8</v>
      </c>
      <c r="K21" s="17" t="s">
        <v>8</v>
      </c>
      <c r="L21" s="19" t="s">
        <v>8</v>
      </c>
      <c r="M21" s="19" t="s">
        <v>9</v>
      </c>
      <c r="N21" s="18" t="s">
        <v>9</v>
      </c>
      <c r="O21" s="18" t="s">
        <v>8</v>
      </c>
      <c r="P21" s="18" t="s">
        <v>9</v>
      </c>
      <c r="Q21" s="18" t="s">
        <v>8</v>
      </c>
      <c r="R21" s="18" t="s">
        <v>8</v>
      </c>
      <c r="S21" s="18" t="s">
        <v>8</v>
      </c>
      <c r="T21" s="18" t="s">
        <v>8</v>
      </c>
      <c r="U21" s="18" t="s">
        <v>9</v>
      </c>
      <c r="V21" s="18" t="s">
        <v>8</v>
      </c>
      <c r="W21" s="18" t="s">
        <v>8</v>
      </c>
      <c r="X21" s="18" t="s">
        <v>8</v>
      </c>
      <c r="Y21" s="18" t="s">
        <v>9</v>
      </c>
      <c r="Z21" s="18" t="s">
        <v>0</v>
      </c>
      <c r="AA21" s="18" t="s">
        <v>0</v>
      </c>
      <c r="AB21" s="18" t="s">
        <v>8</v>
      </c>
      <c r="AC21" s="18" t="s">
        <v>8</v>
      </c>
      <c r="AD21" s="18" t="s">
        <v>8</v>
      </c>
      <c r="AE21" s="18" t="s">
        <v>8</v>
      </c>
      <c r="AF21" s="18" t="s">
        <v>8</v>
      </c>
      <c r="AG21" s="2"/>
    </row>
    <row r="22" spans="1:33" s="8" customFormat="1" ht="22" customHeight="1" thickBot="1" x14ac:dyDescent="0.3">
      <c r="A22" s="6"/>
      <c r="B22" s="65" t="s">
        <v>18</v>
      </c>
      <c r="C22" s="66"/>
      <c r="D22" s="7" t="s">
        <v>17</v>
      </c>
      <c r="E22" s="67" t="s">
        <v>11</v>
      </c>
      <c r="F22" s="68"/>
      <c r="G22" s="13">
        <f>COUNTIF(E21:AF21,"H")</f>
        <v>20</v>
      </c>
      <c r="H22" s="67" t="s">
        <v>12</v>
      </c>
      <c r="I22" s="68"/>
      <c r="J22" s="13">
        <f>COUNTIF(E21:AF21,"T")</f>
        <v>5</v>
      </c>
      <c r="K22" s="67" t="s">
        <v>13</v>
      </c>
      <c r="L22" s="68"/>
      <c r="M22" s="13">
        <f>COUNTIF(E21:AF21,"A") + COUNTIF(E21:AF21,"I")</f>
        <v>3</v>
      </c>
      <c r="N22" s="67" t="s">
        <v>14</v>
      </c>
      <c r="O22" s="68"/>
      <c r="P22" s="13">
        <f>IF((G22+J22+M22)=0,0,(G22+J22)/(G22+J22+M22)*100)</f>
        <v>89.285714285714292</v>
      </c>
      <c r="Q22" s="67"/>
      <c r="R22" s="68"/>
      <c r="S22" s="13"/>
      <c r="T22" s="67"/>
      <c r="U22" s="68"/>
      <c r="V22" s="14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6"/>
    </row>
    <row r="23" spans="1:33" ht="22" customHeight="1" x14ac:dyDescent="0.35">
      <c r="A23" s="2"/>
      <c r="B23" s="72" t="s">
        <v>31</v>
      </c>
      <c r="C23" s="72"/>
      <c r="D23" s="72"/>
      <c r="E23" s="16" t="s">
        <v>8</v>
      </c>
      <c r="F23" s="16" t="s">
        <v>0</v>
      </c>
      <c r="G23" s="17" t="s">
        <v>8</v>
      </c>
      <c r="H23" s="17" t="s">
        <v>8</v>
      </c>
      <c r="I23" s="17" t="s">
        <v>8</v>
      </c>
      <c r="J23" s="17" t="s">
        <v>8</v>
      </c>
      <c r="K23" s="17" t="s">
        <v>8</v>
      </c>
      <c r="L23" s="19" t="s">
        <v>8</v>
      </c>
      <c r="M23" s="19" t="s">
        <v>9</v>
      </c>
      <c r="N23" s="18" t="s">
        <v>9</v>
      </c>
      <c r="O23" s="18" t="s">
        <v>8</v>
      </c>
      <c r="P23" s="18" t="s">
        <v>9</v>
      </c>
      <c r="Q23" s="18" t="s">
        <v>8</v>
      </c>
      <c r="R23" s="18" t="s">
        <v>8</v>
      </c>
      <c r="S23" s="18" t="s">
        <v>8</v>
      </c>
      <c r="T23" s="18" t="s">
        <v>8</v>
      </c>
      <c r="U23" s="18" t="s">
        <v>9</v>
      </c>
      <c r="V23" s="18" t="s">
        <v>8</v>
      </c>
      <c r="W23" s="18" t="s">
        <v>8</v>
      </c>
      <c r="X23" s="18" t="s">
        <v>8</v>
      </c>
      <c r="Y23" s="18" t="s">
        <v>9</v>
      </c>
      <c r="Z23" s="18" t="s">
        <v>0</v>
      </c>
      <c r="AA23" s="18" t="s">
        <v>0</v>
      </c>
      <c r="AB23" s="18" t="s">
        <v>8</v>
      </c>
      <c r="AC23" s="18" t="s">
        <v>8</v>
      </c>
      <c r="AD23" s="18" t="s">
        <v>8</v>
      </c>
      <c r="AE23" s="18" t="s">
        <v>8</v>
      </c>
      <c r="AF23" s="18" t="s">
        <v>8</v>
      </c>
      <c r="AG23" s="2"/>
    </row>
    <row r="24" spans="1:33" s="8" customFormat="1" ht="22" customHeight="1" thickBot="1" x14ac:dyDescent="0.3">
      <c r="A24" s="6"/>
      <c r="B24" s="65" t="s">
        <v>18</v>
      </c>
      <c r="C24" s="66"/>
      <c r="D24" s="7" t="s">
        <v>17</v>
      </c>
      <c r="E24" s="67" t="s">
        <v>11</v>
      </c>
      <c r="F24" s="68"/>
      <c r="G24" s="13">
        <f>COUNTIF(E23:AF23,"H")</f>
        <v>20</v>
      </c>
      <c r="H24" s="67" t="s">
        <v>12</v>
      </c>
      <c r="I24" s="68"/>
      <c r="J24" s="13">
        <f>COUNTIF(E23:AF23,"T")</f>
        <v>5</v>
      </c>
      <c r="K24" s="67" t="s">
        <v>13</v>
      </c>
      <c r="L24" s="68"/>
      <c r="M24" s="13">
        <f>COUNTIF(E23:AF23,"A") + COUNTIF(E23:AF23,"I")</f>
        <v>3</v>
      </c>
      <c r="N24" s="67" t="s">
        <v>14</v>
      </c>
      <c r="O24" s="68"/>
      <c r="P24" s="13">
        <f>IF((G24+J24+M24)=0,0,(G24+J24)/(G24+J24+M24)*100)</f>
        <v>89.285714285714292</v>
      </c>
      <c r="Q24" s="67"/>
      <c r="R24" s="68"/>
      <c r="S24" s="13"/>
      <c r="T24" s="67"/>
      <c r="U24" s="68"/>
      <c r="V24" s="14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6"/>
    </row>
    <row r="25" spans="1:33" s="10" customFormat="1" ht="22" customHeight="1" x14ac:dyDescent="0.25">
      <c r="A25" s="9"/>
      <c r="B25" s="72" t="s">
        <v>32</v>
      </c>
      <c r="C25" s="72"/>
      <c r="D25" s="72"/>
      <c r="E25" s="16" t="s">
        <v>8</v>
      </c>
      <c r="F25" s="16" t="s">
        <v>0</v>
      </c>
      <c r="G25" s="17" t="s">
        <v>8</v>
      </c>
      <c r="H25" s="17" t="s">
        <v>8</v>
      </c>
      <c r="I25" s="17" t="s">
        <v>8</v>
      </c>
      <c r="J25" s="17" t="s">
        <v>8</v>
      </c>
      <c r="K25" s="17" t="s">
        <v>8</v>
      </c>
      <c r="L25" s="19" t="s">
        <v>8</v>
      </c>
      <c r="M25" s="19" t="s">
        <v>9</v>
      </c>
      <c r="N25" s="18" t="s">
        <v>9</v>
      </c>
      <c r="O25" s="18" t="s">
        <v>8</v>
      </c>
      <c r="P25" s="18" t="s">
        <v>9</v>
      </c>
      <c r="Q25" s="18" t="s">
        <v>8</v>
      </c>
      <c r="R25" s="18" t="s">
        <v>8</v>
      </c>
      <c r="S25" s="18" t="s">
        <v>8</v>
      </c>
      <c r="T25" s="18" t="s">
        <v>8</v>
      </c>
      <c r="U25" s="18" t="s">
        <v>9</v>
      </c>
      <c r="V25" s="18" t="s">
        <v>8</v>
      </c>
      <c r="W25" s="18" t="s">
        <v>8</v>
      </c>
      <c r="X25" s="18" t="s">
        <v>8</v>
      </c>
      <c r="Y25" s="18" t="s">
        <v>9</v>
      </c>
      <c r="Z25" s="18" t="s">
        <v>0</v>
      </c>
      <c r="AA25" s="18" t="s">
        <v>0</v>
      </c>
      <c r="AB25" s="18" t="s">
        <v>8</v>
      </c>
      <c r="AC25" s="18" t="s">
        <v>8</v>
      </c>
      <c r="AD25" s="18" t="s">
        <v>8</v>
      </c>
      <c r="AE25" s="18" t="s">
        <v>8</v>
      </c>
      <c r="AF25" s="18" t="s">
        <v>8</v>
      </c>
      <c r="AG25" s="9"/>
    </row>
    <row r="26" spans="1:33" s="8" customFormat="1" ht="22" customHeight="1" thickBot="1" x14ac:dyDescent="0.3">
      <c r="A26" s="6"/>
      <c r="B26" s="65" t="s">
        <v>18</v>
      </c>
      <c r="C26" s="66"/>
      <c r="D26" s="7" t="s">
        <v>17</v>
      </c>
      <c r="E26" s="67" t="s">
        <v>11</v>
      </c>
      <c r="F26" s="68"/>
      <c r="G26" s="13">
        <f>COUNTIF(E25:AF25,"H")</f>
        <v>20</v>
      </c>
      <c r="H26" s="67" t="s">
        <v>12</v>
      </c>
      <c r="I26" s="68"/>
      <c r="J26" s="13">
        <f>COUNTIF(E25:AF25,"T")</f>
        <v>5</v>
      </c>
      <c r="K26" s="67" t="s">
        <v>13</v>
      </c>
      <c r="L26" s="68"/>
      <c r="M26" s="13">
        <f>COUNTIF(E25:AF25,"A") + COUNTIF(E25:AF25,"I")</f>
        <v>3</v>
      </c>
      <c r="N26" s="67" t="s">
        <v>14</v>
      </c>
      <c r="O26" s="68"/>
      <c r="P26" s="13">
        <f>IF((G26+J26+M26)=0,0,(G26+J26)/(G26+J26+M26)*100)</f>
        <v>89.285714285714292</v>
      </c>
      <c r="Q26" s="67"/>
      <c r="R26" s="68"/>
      <c r="S26" s="13"/>
      <c r="T26" s="67"/>
      <c r="U26" s="68"/>
      <c r="V26" s="14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6"/>
    </row>
    <row r="27" spans="1:33" ht="22" customHeight="1" x14ac:dyDescent="0.35">
      <c r="A27" s="2"/>
      <c r="B27" s="72" t="s">
        <v>33</v>
      </c>
      <c r="C27" s="72"/>
      <c r="D27" s="72"/>
      <c r="E27" s="16" t="s">
        <v>8</v>
      </c>
      <c r="F27" s="16" t="s">
        <v>0</v>
      </c>
      <c r="G27" s="17" t="s">
        <v>8</v>
      </c>
      <c r="H27" s="17" t="s">
        <v>8</v>
      </c>
      <c r="I27" s="17" t="s">
        <v>8</v>
      </c>
      <c r="J27" s="17" t="s">
        <v>8</v>
      </c>
      <c r="K27" s="17" t="s">
        <v>8</v>
      </c>
      <c r="L27" s="19" t="s">
        <v>8</v>
      </c>
      <c r="M27" s="19" t="s">
        <v>9</v>
      </c>
      <c r="N27" s="18" t="s">
        <v>9</v>
      </c>
      <c r="O27" s="18" t="s">
        <v>8</v>
      </c>
      <c r="P27" s="18" t="s">
        <v>9</v>
      </c>
      <c r="Q27" s="18" t="s">
        <v>8</v>
      </c>
      <c r="R27" s="18" t="s">
        <v>8</v>
      </c>
      <c r="S27" s="18" t="s">
        <v>8</v>
      </c>
      <c r="T27" s="18" t="s">
        <v>8</v>
      </c>
      <c r="U27" s="18" t="s">
        <v>9</v>
      </c>
      <c r="V27" s="18" t="s">
        <v>8</v>
      </c>
      <c r="W27" s="18" t="s">
        <v>8</v>
      </c>
      <c r="X27" s="18" t="s">
        <v>8</v>
      </c>
      <c r="Y27" s="18" t="s">
        <v>9</v>
      </c>
      <c r="Z27" s="18" t="s">
        <v>0</v>
      </c>
      <c r="AA27" s="18" t="s">
        <v>0</v>
      </c>
      <c r="AB27" s="18" t="s">
        <v>8</v>
      </c>
      <c r="AC27" s="18" t="s">
        <v>8</v>
      </c>
      <c r="AD27" s="18" t="s">
        <v>8</v>
      </c>
      <c r="AE27" s="18" t="s">
        <v>8</v>
      </c>
      <c r="AF27" s="18" t="s">
        <v>8</v>
      </c>
      <c r="AG27" s="2"/>
    </row>
    <row r="28" spans="1:33" s="8" customFormat="1" ht="22" customHeight="1" thickBot="1" x14ac:dyDescent="0.3">
      <c r="A28" s="6"/>
      <c r="B28" s="65" t="s">
        <v>18</v>
      </c>
      <c r="C28" s="66"/>
      <c r="D28" s="7" t="s">
        <v>17</v>
      </c>
      <c r="E28" s="67" t="s">
        <v>11</v>
      </c>
      <c r="F28" s="68"/>
      <c r="G28" s="13">
        <f>COUNTIF(E27:AF27,"H")</f>
        <v>20</v>
      </c>
      <c r="H28" s="67" t="s">
        <v>12</v>
      </c>
      <c r="I28" s="68"/>
      <c r="J28" s="13">
        <f>COUNTIF(E27:AF27,"T")</f>
        <v>5</v>
      </c>
      <c r="K28" s="67" t="s">
        <v>13</v>
      </c>
      <c r="L28" s="68"/>
      <c r="M28" s="13">
        <f>COUNTIF(E27:AF27,"A") + COUNTIF(E27:AF27,"I")</f>
        <v>3</v>
      </c>
      <c r="N28" s="67" t="s">
        <v>14</v>
      </c>
      <c r="O28" s="68"/>
      <c r="P28" s="13">
        <f>IF((G28+J28+M28)=0,0,(G28+J28)/(G28+J28+M28)*100)</f>
        <v>89.285714285714292</v>
      </c>
      <c r="Q28" s="67"/>
      <c r="R28" s="68"/>
      <c r="S28" s="13"/>
      <c r="T28" s="67"/>
      <c r="U28" s="68"/>
      <c r="V28" s="14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6"/>
    </row>
    <row r="29" spans="1:33" s="10" customFormat="1" ht="22" customHeight="1" x14ac:dyDescent="0.25">
      <c r="A29" s="9"/>
      <c r="B29" s="72" t="s">
        <v>34</v>
      </c>
      <c r="C29" s="72"/>
      <c r="D29" s="72"/>
      <c r="E29" s="16" t="s">
        <v>8</v>
      </c>
      <c r="F29" s="16" t="s">
        <v>0</v>
      </c>
      <c r="G29" s="17" t="s">
        <v>8</v>
      </c>
      <c r="H29" s="17" t="s">
        <v>8</v>
      </c>
      <c r="I29" s="17" t="s">
        <v>8</v>
      </c>
      <c r="J29" s="17" t="s">
        <v>8</v>
      </c>
      <c r="K29" s="17" t="s">
        <v>8</v>
      </c>
      <c r="L29" s="19" t="s">
        <v>8</v>
      </c>
      <c r="M29" s="19" t="s">
        <v>9</v>
      </c>
      <c r="N29" s="18" t="s">
        <v>9</v>
      </c>
      <c r="O29" s="18" t="s">
        <v>8</v>
      </c>
      <c r="P29" s="18" t="s">
        <v>9</v>
      </c>
      <c r="Q29" s="18" t="s">
        <v>8</v>
      </c>
      <c r="R29" s="18" t="s">
        <v>8</v>
      </c>
      <c r="S29" s="18" t="s">
        <v>8</v>
      </c>
      <c r="T29" s="18" t="s">
        <v>8</v>
      </c>
      <c r="U29" s="18" t="s">
        <v>9</v>
      </c>
      <c r="V29" s="18" t="s">
        <v>8</v>
      </c>
      <c r="W29" s="18" t="s">
        <v>8</v>
      </c>
      <c r="X29" s="18" t="s">
        <v>8</v>
      </c>
      <c r="Y29" s="18" t="s">
        <v>9</v>
      </c>
      <c r="Z29" s="18" t="s">
        <v>0</v>
      </c>
      <c r="AA29" s="18" t="s">
        <v>0</v>
      </c>
      <c r="AB29" s="18" t="s">
        <v>8</v>
      </c>
      <c r="AC29" s="18" t="s">
        <v>8</v>
      </c>
      <c r="AD29" s="18" t="s">
        <v>8</v>
      </c>
      <c r="AE29" s="18" t="s">
        <v>8</v>
      </c>
      <c r="AF29" s="18" t="s">
        <v>8</v>
      </c>
      <c r="AG29" s="9"/>
    </row>
    <row r="30" spans="1:33" s="8" customFormat="1" ht="22" customHeight="1" thickBot="1" x14ac:dyDescent="0.3">
      <c r="A30" s="6"/>
      <c r="B30" s="65" t="s">
        <v>18</v>
      </c>
      <c r="C30" s="66"/>
      <c r="D30" s="7" t="s">
        <v>17</v>
      </c>
      <c r="E30" s="67" t="s">
        <v>11</v>
      </c>
      <c r="F30" s="68"/>
      <c r="G30" s="13">
        <f>COUNTIF(E29:AF29,"H")</f>
        <v>20</v>
      </c>
      <c r="H30" s="67" t="s">
        <v>12</v>
      </c>
      <c r="I30" s="68"/>
      <c r="J30" s="13">
        <f>COUNTIF(E29:AF29,"T")</f>
        <v>5</v>
      </c>
      <c r="K30" s="67" t="s">
        <v>13</v>
      </c>
      <c r="L30" s="68"/>
      <c r="M30" s="13">
        <f>COUNTIF(E29:AF29,"A") + COUNTIF(E29:AF29,"I")</f>
        <v>3</v>
      </c>
      <c r="N30" s="67" t="s">
        <v>14</v>
      </c>
      <c r="O30" s="68"/>
      <c r="P30" s="13">
        <f>IF((G30+J30+M30)=0,0,(G30+J30)/(G30+J30+M30)*100)</f>
        <v>89.285714285714292</v>
      </c>
      <c r="Q30" s="67"/>
      <c r="R30" s="68"/>
      <c r="S30" s="13"/>
      <c r="T30" s="67"/>
      <c r="U30" s="68"/>
      <c r="V30" s="14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6"/>
    </row>
    <row r="31" spans="1:33" ht="22" customHeight="1" x14ac:dyDescent="0.35">
      <c r="A31" s="2"/>
      <c r="B31" s="72" t="s">
        <v>35</v>
      </c>
      <c r="C31" s="72"/>
      <c r="D31" s="72"/>
      <c r="E31" s="16" t="s">
        <v>8</v>
      </c>
      <c r="F31" s="16" t="s">
        <v>0</v>
      </c>
      <c r="G31" s="17" t="s">
        <v>8</v>
      </c>
      <c r="H31" s="17" t="s">
        <v>8</v>
      </c>
      <c r="I31" s="17" t="s">
        <v>8</v>
      </c>
      <c r="J31" s="17" t="s">
        <v>8</v>
      </c>
      <c r="K31" s="17" t="s">
        <v>8</v>
      </c>
      <c r="L31" s="19" t="s">
        <v>8</v>
      </c>
      <c r="M31" s="19" t="s">
        <v>9</v>
      </c>
      <c r="N31" s="18" t="s">
        <v>9</v>
      </c>
      <c r="O31" s="18" t="s">
        <v>8</v>
      </c>
      <c r="P31" s="18" t="s">
        <v>9</v>
      </c>
      <c r="Q31" s="18" t="s">
        <v>8</v>
      </c>
      <c r="R31" s="18" t="s">
        <v>8</v>
      </c>
      <c r="S31" s="18" t="s">
        <v>8</v>
      </c>
      <c r="T31" s="18" t="s">
        <v>8</v>
      </c>
      <c r="U31" s="18" t="s">
        <v>9</v>
      </c>
      <c r="V31" s="18" t="s">
        <v>8</v>
      </c>
      <c r="W31" s="18" t="s">
        <v>8</v>
      </c>
      <c r="X31" s="18" t="s">
        <v>8</v>
      </c>
      <c r="Y31" s="18" t="s">
        <v>9</v>
      </c>
      <c r="Z31" s="18" t="s">
        <v>0</v>
      </c>
      <c r="AA31" s="18" t="s">
        <v>0</v>
      </c>
      <c r="AB31" s="18" t="s">
        <v>8</v>
      </c>
      <c r="AC31" s="18" t="s">
        <v>8</v>
      </c>
      <c r="AD31" s="18" t="s">
        <v>8</v>
      </c>
      <c r="AE31" s="18" t="s">
        <v>8</v>
      </c>
      <c r="AF31" s="18" t="s">
        <v>8</v>
      </c>
      <c r="AG31" s="2"/>
    </row>
    <row r="32" spans="1:33" s="8" customFormat="1" ht="22" customHeight="1" thickBot="1" x14ac:dyDescent="0.3">
      <c r="A32" s="6"/>
      <c r="B32" s="65" t="s">
        <v>18</v>
      </c>
      <c r="C32" s="66"/>
      <c r="D32" s="7" t="s">
        <v>17</v>
      </c>
      <c r="E32" s="67" t="s">
        <v>11</v>
      </c>
      <c r="F32" s="68"/>
      <c r="G32" s="13">
        <f>COUNTIF(E31:AF31,"H")</f>
        <v>20</v>
      </c>
      <c r="H32" s="67" t="s">
        <v>12</v>
      </c>
      <c r="I32" s="68"/>
      <c r="J32" s="13">
        <f>COUNTIF(E31:AF31,"T")</f>
        <v>5</v>
      </c>
      <c r="K32" s="67" t="s">
        <v>13</v>
      </c>
      <c r="L32" s="68"/>
      <c r="M32" s="13">
        <f>COUNTIF(E31:AF31,"A") + COUNTIF(E31:AF31,"I")</f>
        <v>3</v>
      </c>
      <c r="N32" s="67" t="s">
        <v>14</v>
      </c>
      <c r="O32" s="68"/>
      <c r="P32" s="13">
        <f>IF((G32+J32+M32)=0,0,(G32+J32)/(G32+J32+M32)*100)</f>
        <v>89.285714285714292</v>
      </c>
      <c r="Q32" s="67"/>
      <c r="R32" s="68"/>
      <c r="S32" s="13"/>
      <c r="T32" s="67"/>
      <c r="U32" s="68"/>
      <c r="V32" s="14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6"/>
    </row>
    <row r="33" spans="1:36" ht="22" customHeight="1" x14ac:dyDescent="0.35">
      <c r="A33" s="2"/>
      <c r="B33" s="72" t="s">
        <v>36</v>
      </c>
      <c r="C33" s="72"/>
      <c r="D33" s="72"/>
      <c r="E33" s="16" t="s">
        <v>8</v>
      </c>
      <c r="F33" s="16" t="s">
        <v>0</v>
      </c>
      <c r="G33" s="17" t="s">
        <v>8</v>
      </c>
      <c r="H33" s="17" t="s">
        <v>8</v>
      </c>
      <c r="I33" s="17" t="s">
        <v>8</v>
      </c>
      <c r="J33" s="17" t="s">
        <v>8</v>
      </c>
      <c r="K33" s="17" t="s">
        <v>8</v>
      </c>
      <c r="L33" s="19" t="s">
        <v>8</v>
      </c>
      <c r="M33" s="19" t="s">
        <v>9</v>
      </c>
      <c r="N33" s="18" t="s">
        <v>9</v>
      </c>
      <c r="O33" s="18" t="s">
        <v>8</v>
      </c>
      <c r="P33" s="18" t="s">
        <v>9</v>
      </c>
      <c r="Q33" s="18" t="s">
        <v>8</v>
      </c>
      <c r="R33" s="18" t="s">
        <v>8</v>
      </c>
      <c r="S33" s="18" t="s">
        <v>8</v>
      </c>
      <c r="T33" s="18" t="s">
        <v>8</v>
      </c>
      <c r="U33" s="18" t="s">
        <v>9</v>
      </c>
      <c r="V33" s="18" t="s">
        <v>8</v>
      </c>
      <c r="W33" s="18" t="s">
        <v>8</v>
      </c>
      <c r="X33" s="18" t="s">
        <v>8</v>
      </c>
      <c r="Y33" s="18" t="s">
        <v>9</v>
      </c>
      <c r="Z33" s="18" t="s">
        <v>0</v>
      </c>
      <c r="AA33" s="18" t="s">
        <v>0</v>
      </c>
      <c r="AB33" s="18" t="s">
        <v>8</v>
      </c>
      <c r="AC33" s="18" t="s">
        <v>8</v>
      </c>
      <c r="AD33" s="18" t="s">
        <v>8</v>
      </c>
      <c r="AE33" s="18" t="s">
        <v>8</v>
      </c>
      <c r="AF33" s="18" t="s">
        <v>8</v>
      </c>
      <c r="AG33" s="2"/>
    </row>
    <row r="34" spans="1:36" s="8" customFormat="1" ht="22" customHeight="1" thickBot="1" x14ac:dyDescent="0.3">
      <c r="A34" s="6"/>
      <c r="B34" s="65" t="s">
        <v>18</v>
      </c>
      <c r="C34" s="66"/>
      <c r="D34" s="7" t="s">
        <v>17</v>
      </c>
      <c r="E34" s="67" t="s">
        <v>11</v>
      </c>
      <c r="F34" s="68"/>
      <c r="G34" s="13">
        <f>COUNTIF(E33:AF33,"H")</f>
        <v>20</v>
      </c>
      <c r="H34" s="67" t="s">
        <v>12</v>
      </c>
      <c r="I34" s="68"/>
      <c r="J34" s="13">
        <f>COUNTIF(E33:AF33,"T")</f>
        <v>5</v>
      </c>
      <c r="K34" s="67" t="s">
        <v>13</v>
      </c>
      <c r="L34" s="68"/>
      <c r="M34" s="13">
        <f>COUNTIF(E33:AF33,"A") + COUNTIF(E33:AF33,"I")</f>
        <v>3</v>
      </c>
      <c r="N34" s="67" t="s">
        <v>14</v>
      </c>
      <c r="O34" s="68"/>
      <c r="P34" s="13">
        <f>IF((G34+J34+M34)=0,0,(G34+J34)/(G34+J34+M34)*100)</f>
        <v>89.285714285714292</v>
      </c>
      <c r="Q34" s="67"/>
      <c r="R34" s="68"/>
      <c r="S34" s="13"/>
      <c r="T34" s="67"/>
      <c r="U34" s="68"/>
      <c r="V34" s="14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6"/>
    </row>
    <row r="35" spans="1:36" s="10" customFormat="1" ht="22" customHeight="1" x14ac:dyDescent="0.25">
      <c r="A35" s="9"/>
      <c r="B35" s="69" t="s">
        <v>37</v>
      </c>
      <c r="C35" s="70"/>
      <c r="D35" s="71"/>
      <c r="E35" s="16" t="s">
        <v>8</v>
      </c>
      <c r="F35" s="16" t="s">
        <v>0</v>
      </c>
      <c r="G35" s="17" t="s">
        <v>8</v>
      </c>
      <c r="H35" s="17" t="s">
        <v>8</v>
      </c>
      <c r="I35" s="17" t="s">
        <v>8</v>
      </c>
      <c r="J35" s="17" t="s">
        <v>8</v>
      </c>
      <c r="K35" s="17" t="s">
        <v>8</v>
      </c>
      <c r="L35" s="19" t="s">
        <v>8</v>
      </c>
      <c r="M35" s="19" t="s">
        <v>9</v>
      </c>
      <c r="N35" s="18" t="s">
        <v>9</v>
      </c>
      <c r="O35" s="18" t="s">
        <v>8</v>
      </c>
      <c r="P35" s="18" t="s">
        <v>9</v>
      </c>
      <c r="Q35" s="18" t="s">
        <v>8</v>
      </c>
      <c r="R35" s="18" t="s">
        <v>8</v>
      </c>
      <c r="S35" s="18" t="s">
        <v>8</v>
      </c>
      <c r="T35" s="18" t="s">
        <v>8</v>
      </c>
      <c r="U35" s="18" t="s">
        <v>9</v>
      </c>
      <c r="V35" s="18" t="s">
        <v>8</v>
      </c>
      <c r="W35" s="18" t="s">
        <v>8</v>
      </c>
      <c r="X35" s="18" t="s">
        <v>8</v>
      </c>
      <c r="Y35" s="18" t="s">
        <v>9</v>
      </c>
      <c r="Z35" s="18" t="s">
        <v>0</v>
      </c>
      <c r="AA35" s="18" t="s">
        <v>0</v>
      </c>
      <c r="AB35" s="18" t="s">
        <v>8</v>
      </c>
      <c r="AC35" s="18" t="s">
        <v>8</v>
      </c>
      <c r="AD35" s="18" t="s">
        <v>8</v>
      </c>
      <c r="AE35" s="18" t="s">
        <v>8</v>
      </c>
      <c r="AF35" s="18" t="s">
        <v>8</v>
      </c>
      <c r="AG35" s="9"/>
    </row>
    <row r="36" spans="1:36" s="8" customFormat="1" ht="22" customHeight="1" thickBot="1" x14ac:dyDescent="0.3">
      <c r="A36" s="6"/>
      <c r="B36" s="65" t="s">
        <v>18</v>
      </c>
      <c r="C36" s="66"/>
      <c r="D36" s="7" t="s">
        <v>17</v>
      </c>
      <c r="E36" s="67" t="s">
        <v>11</v>
      </c>
      <c r="F36" s="68"/>
      <c r="G36" s="13">
        <f>COUNTIF(E35:AF35,"H")</f>
        <v>20</v>
      </c>
      <c r="H36" s="67" t="s">
        <v>12</v>
      </c>
      <c r="I36" s="68"/>
      <c r="J36" s="13">
        <f>COUNTIF(E35:AF35,"T")</f>
        <v>5</v>
      </c>
      <c r="K36" s="67" t="s">
        <v>13</v>
      </c>
      <c r="L36" s="68"/>
      <c r="M36" s="13">
        <f>COUNTIF(E35:AF35,"A") + COUNTIF(E35:AF35,"I")</f>
        <v>3</v>
      </c>
      <c r="N36" s="67" t="s">
        <v>14</v>
      </c>
      <c r="O36" s="68"/>
      <c r="P36" s="13">
        <f>IF((G36+J36+M36)=0,0,(G36+J36)/(G36+J36+M36)*100)</f>
        <v>89.285714285714292</v>
      </c>
      <c r="Q36" s="67"/>
      <c r="R36" s="68"/>
      <c r="S36" s="13"/>
      <c r="T36" s="67"/>
      <c r="U36" s="68"/>
      <c r="V36" s="14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6"/>
    </row>
    <row r="37" spans="1:36" s="10" customFormat="1" ht="22" customHeight="1" x14ac:dyDescent="0.25">
      <c r="A37" s="9"/>
      <c r="B37" s="69" t="s">
        <v>38</v>
      </c>
      <c r="C37" s="70"/>
      <c r="D37" s="71"/>
      <c r="E37" s="16" t="s">
        <v>8</v>
      </c>
      <c r="F37" s="16" t="s">
        <v>0</v>
      </c>
      <c r="G37" s="17" t="s">
        <v>8</v>
      </c>
      <c r="H37" s="17" t="s">
        <v>8</v>
      </c>
      <c r="I37" s="17" t="s">
        <v>8</v>
      </c>
      <c r="J37" s="17" t="s">
        <v>8</v>
      </c>
      <c r="K37" s="17" t="s">
        <v>8</v>
      </c>
      <c r="L37" s="19" t="s">
        <v>8</v>
      </c>
      <c r="M37" s="19" t="s">
        <v>9</v>
      </c>
      <c r="N37" s="18" t="s">
        <v>9</v>
      </c>
      <c r="O37" s="18" t="s">
        <v>8</v>
      </c>
      <c r="P37" s="18" t="s">
        <v>9</v>
      </c>
      <c r="Q37" s="18" t="s">
        <v>8</v>
      </c>
      <c r="R37" s="18" t="s">
        <v>8</v>
      </c>
      <c r="S37" s="18" t="s">
        <v>8</v>
      </c>
      <c r="T37" s="18" t="s">
        <v>8</v>
      </c>
      <c r="U37" s="18" t="s">
        <v>9</v>
      </c>
      <c r="V37" s="18" t="s">
        <v>8</v>
      </c>
      <c r="W37" s="18" t="s">
        <v>8</v>
      </c>
      <c r="X37" s="18" t="s">
        <v>8</v>
      </c>
      <c r="Y37" s="18" t="s">
        <v>9</v>
      </c>
      <c r="Z37" s="18" t="s">
        <v>0</v>
      </c>
      <c r="AA37" s="18" t="s">
        <v>0</v>
      </c>
      <c r="AB37" s="18" t="s">
        <v>8</v>
      </c>
      <c r="AC37" s="18" t="s">
        <v>8</v>
      </c>
      <c r="AD37" s="18" t="s">
        <v>8</v>
      </c>
      <c r="AE37" s="18" t="s">
        <v>8</v>
      </c>
      <c r="AF37" s="18" t="s">
        <v>8</v>
      </c>
      <c r="AG37" s="9"/>
    </row>
    <row r="38" spans="1:36" s="8" customFormat="1" ht="22" customHeight="1" thickBot="1" x14ac:dyDescent="0.3">
      <c r="A38" s="6"/>
      <c r="B38" s="65" t="s">
        <v>18</v>
      </c>
      <c r="C38" s="66"/>
      <c r="D38" s="7" t="s">
        <v>17</v>
      </c>
      <c r="E38" s="67" t="s">
        <v>11</v>
      </c>
      <c r="F38" s="68"/>
      <c r="G38" s="13">
        <f>COUNTIF(E37:AF37,"H")</f>
        <v>20</v>
      </c>
      <c r="H38" s="67" t="s">
        <v>12</v>
      </c>
      <c r="I38" s="68"/>
      <c r="J38" s="13">
        <f>COUNTIF(E37:AF37,"T")</f>
        <v>5</v>
      </c>
      <c r="K38" s="67" t="s">
        <v>13</v>
      </c>
      <c r="L38" s="68"/>
      <c r="M38" s="13">
        <f>COUNTIF(E37:AF37,"A") + COUNTIF(E37:AF37,"I")</f>
        <v>3</v>
      </c>
      <c r="N38" s="67" t="s">
        <v>14</v>
      </c>
      <c r="O38" s="68"/>
      <c r="P38" s="13">
        <f>IF((G38+J38+M38)=0,0,(G38+J38)/(G38+J38+M38)*100)</f>
        <v>89.285714285714292</v>
      </c>
      <c r="Q38" s="67"/>
      <c r="R38" s="68"/>
      <c r="S38" s="13"/>
      <c r="T38" s="67"/>
      <c r="U38" s="68"/>
      <c r="V38" s="14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6"/>
    </row>
    <row r="39" spans="1:36" s="10" customFormat="1" ht="22" customHeight="1" x14ac:dyDescent="0.25">
      <c r="A39" s="9"/>
      <c r="B39" s="69" t="s">
        <v>39</v>
      </c>
      <c r="C39" s="70"/>
      <c r="D39" s="71"/>
      <c r="E39" s="16" t="s">
        <v>8</v>
      </c>
      <c r="F39" s="16" t="s">
        <v>0</v>
      </c>
      <c r="G39" s="17" t="s">
        <v>8</v>
      </c>
      <c r="H39" s="17" t="s">
        <v>8</v>
      </c>
      <c r="I39" s="17" t="s">
        <v>8</v>
      </c>
      <c r="J39" s="17" t="s">
        <v>8</v>
      </c>
      <c r="K39" s="17" t="s">
        <v>8</v>
      </c>
      <c r="L39" s="19" t="s">
        <v>8</v>
      </c>
      <c r="M39" s="19" t="s">
        <v>9</v>
      </c>
      <c r="N39" s="18" t="s">
        <v>9</v>
      </c>
      <c r="O39" s="18" t="s">
        <v>8</v>
      </c>
      <c r="P39" s="18" t="s">
        <v>9</v>
      </c>
      <c r="Q39" s="18" t="s">
        <v>8</v>
      </c>
      <c r="R39" s="18" t="s">
        <v>8</v>
      </c>
      <c r="S39" s="18" t="s">
        <v>8</v>
      </c>
      <c r="T39" s="18" t="s">
        <v>8</v>
      </c>
      <c r="U39" s="18" t="s">
        <v>9</v>
      </c>
      <c r="V39" s="18" t="s">
        <v>8</v>
      </c>
      <c r="W39" s="18" t="s">
        <v>8</v>
      </c>
      <c r="X39" s="18" t="s">
        <v>8</v>
      </c>
      <c r="Y39" s="18" t="s">
        <v>9</v>
      </c>
      <c r="Z39" s="18" t="s">
        <v>0</v>
      </c>
      <c r="AA39" s="18" t="s">
        <v>0</v>
      </c>
      <c r="AB39" s="18" t="s">
        <v>8</v>
      </c>
      <c r="AC39" s="18" t="s">
        <v>8</v>
      </c>
      <c r="AD39" s="18" t="s">
        <v>8</v>
      </c>
      <c r="AE39" s="18" t="s">
        <v>8</v>
      </c>
      <c r="AF39" s="18" t="s">
        <v>8</v>
      </c>
      <c r="AG39" s="9"/>
    </row>
    <row r="40" spans="1:36" s="8" customFormat="1" ht="22" customHeight="1" thickBot="1" x14ac:dyDescent="0.3">
      <c r="A40" s="6"/>
      <c r="B40" s="65" t="s">
        <v>18</v>
      </c>
      <c r="C40" s="66"/>
      <c r="D40" s="7" t="s">
        <v>17</v>
      </c>
      <c r="E40" s="67" t="s">
        <v>11</v>
      </c>
      <c r="F40" s="68"/>
      <c r="G40" s="13">
        <f>COUNTIF(E39:AF39,"H")</f>
        <v>20</v>
      </c>
      <c r="H40" s="67" t="s">
        <v>12</v>
      </c>
      <c r="I40" s="68"/>
      <c r="J40" s="13">
        <f>COUNTIF(E39:AF39,"T")</f>
        <v>5</v>
      </c>
      <c r="K40" s="67" t="s">
        <v>13</v>
      </c>
      <c r="L40" s="68"/>
      <c r="M40" s="13">
        <f>COUNTIF(E39:AF39,"A") + COUNTIF(E39:AF39,"I")</f>
        <v>3</v>
      </c>
      <c r="N40" s="67" t="s">
        <v>14</v>
      </c>
      <c r="O40" s="68"/>
      <c r="P40" s="13">
        <f>IF((G40+J40+M40)=0,0,(G40+J40)/(G40+J40+M40)*100)</f>
        <v>89.285714285714292</v>
      </c>
      <c r="Q40" s="67"/>
      <c r="R40" s="68"/>
      <c r="S40" s="13"/>
      <c r="T40" s="67"/>
      <c r="U40" s="68"/>
      <c r="V40" s="14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6"/>
    </row>
    <row r="41" spans="1:36" s="10" customFormat="1" ht="22" customHeight="1" x14ac:dyDescent="0.25">
      <c r="A41" s="9"/>
      <c r="B41" s="69" t="s">
        <v>40</v>
      </c>
      <c r="C41" s="70"/>
      <c r="D41" s="71"/>
      <c r="E41" s="16" t="s">
        <v>8</v>
      </c>
      <c r="F41" s="16" t="s">
        <v>0</v>
      </c>
      <c r="G41" s="17" t="s">
        <v>8</v>
      </c>
      <c r="H41" s="17" t="s">
        <v>8</v>
      </c>
      <c r="I41" s="17" t="s">
        <v>8</v>
      </c>
      <c r="J41" s="17" t="s">
        <v>8</v>
      </c>
      <c r="K41" s="17" t="s">
        <v>8</v>
      </c>
      <c r="L41" s="19" t="s">
        <v>8</v>
      </c>
      <c r="M41" s="19" t="s">
        <v>9</v>
      </c>
      <c r="N41" s="18" t="s">
        <v>9</v>
      </c>
      <c r="O41" s="18" t="s">
        <v>8</v>
      </c>
      <c r="P41" s="18" t="s">
        <v>9</v>
      </c>
      <c r="Q41" s="18" t="s">
        <v>8</v>
      </c>
      <c r="R41" s="18" t="s">
        <v>8</v>
      </c>
      <c r="S41" s="18" t="s">
        <v>8</v>
      </c>
      <c r="T41" s="18" t="s">
        <v>8</v>
      </c>
      <c r="U41" s="18" t="s">
        <v>9</v>
      </c>
      <c r="V41" s="18" t="s">
        <v>8</v>
      </c>
      <c r="W41" s="18" t="s">
        <v>8</v>
      </c>
      <c r="X41" s="18" t="s">
        <v>8</v>
      </c>
      <c r="Y41" s="18" t="s">
        <v>9</v>
      </c>
      <c r="Z41" s="18" t="s">
        <v>0</v>
      </c>
      <c r="AA41" s="18" t="s">
        <v>0</v>
      </c>
      <c r="AB41" s="18" t="s">
        <v>8</v>
      </c>
      <c r="AC41" s="18" t="s">
        <v>8</v>
      </c>
      <c r="AD41" s="18" t="s">
        <v>8</v>
      </c>
      <c r="AE41" s="18" t="s">
        <v>8</v>
      </c>
      <c r="AF41" s="18" t="s">
        <v>8</v>
      </c>
      <c r="AG41" s="9"/>
    </row>
    <row r="42" spans="1:36" s="8" customFormat="1" ht="22" customHeight="1" thickBot="1" x14ac:dyDescent="0.3">
      <c r="A42" s="6"/>
      <c r="B42" s="65" t="s">
        <v>18</v>
      </c>
      <c r="C42" s="66"/>
      <c r="D42" s="7" t="s">
        <v>17</v>
      </c>
      <c r="E42" s="67" t="s">
        <v>11</v>
      </c>
      <c r="F42" s="68"/>
      <c r="G42" s="13">
        <f>COUNTIF(E41:AF41,"H")</f>
        <v>20</v>
      </c>
      <c r="H42" s="67" t="s">
        <v>12</v>
      </c>
      <c r="I42" s="68"/>
      <c r="J42" s="13">
        <f>COUNTIF(E41:AF41,"T")</f>
        <v>5</v>
      </c>
      <c r="K42" s="67" t="s">
        <v>13</v>
      </c>
      <c r="L42" s="68"/>
      <c r="M42" s="13">
        <f>COUNTIF(E41:AF41,"A") + COUNTIF(E41:AF41,"I")</f>
        <v>3</v>
      </c>
      <c r="N42" s="67" t="s">
        <v>14</v>
      </c>
      <c r="O42" s="68"/>
      <c r="P42" s="13">
        <f>IF((G42+J42+M42)=0,0,(G42+J42)/(G42+J42+M42)*100)</f>
        <v>89.285714285714292</v>
      </c>
      <c r="Q42" s="67"/>
      <c r="R42" s="68"/>
      <c r="S42" s="13"/>
      <c r="T42" s="67"/>
      <c r="U42" s="68"/>
      <c r="V42" s="14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6"/>
    </row>
    <row r="43" spans="1:36" s="10" customFormat="1" ht="22" customHeight="1" x14ac:dyDescent="0.25">
      <c r="A43" s="9"/>
      <c r="B43" s="62" t="s">
        <v>41</v>
      </c>
      <c r="C43" s="63"/>
      <c r="D43" s="64"/>
      <c r="E43" s="16" t="s">
        <v>8</v>
      </c>
      <c r="F43" s="16" t="s">
        <v>0</v>
      </c>
      <c r="G43" s="17" t="s">
        <v>8</v>
      </c>
      <c r="H43" s="17" t="s">
        <v>8</v>
      </c>
      <c r="I43" s="17" t="s">
        <v>8</v>
      </c>
      <c r="J43" s="17" t="s">
        <v>8</v>
      </c>
      <c r="K43" s="17" t="s">
        <v>8</v>
      </c>
      <c r="L43" s="19" t="s">
        <v>8</v>
      </c>
      <c r="M43" s="19" t="s">
        <v>9</v>
      </c>
      <c r="N43" s="18" t="s">
        <v>9</v>
      </c>
      <c r="O43" s="18" t="s">
        <v>8</v>
      </c>
      <c r="P43" s="18" t="s">
        <v>9</v>
      </c>
      <c r="Q43" s="18" t="s">
        <v>8</v>
      </c>
      <c r="R43" s="18" t="s">
        <v>8</v>
      </c>
      <c r="S43" s="18" t="s">
        <v>8</v>
      </c>
      <c r="T43" s="18" t="s">
        <v>8</v>
      </c>
      <c r="U43" s="18" t="s">
        <v>9</v>
      </c>
      <c r="V43" s="18" t="s">
        <v>8</v>
      </c>
      <c r="W43" s="18" t="s">
        <v>8</v>
      </c>
      <c r="X43" s="18" t="s">
        <v>8</v>
      </c>
      <c r="Y43" s="18" t="s">
        <v>9</v>
      </c>
      <c r="Z43" s="18" t="s">
        <v>0</v>
      </c>
      <c r="AA43" s="18" t="s">
        <v>0</v>
      </c>
      <c r="AB43" s="18" t="s">
        <v>8</v>
      </c>
      <c r="AC43" s="18" t="s">
        <v>8</v>
      </c>
      <c r="AD43" s="18" t="s">
        <v>8</v>
      </c>
      <c r="AE43" s="18" t="s">
        <v>8</v>
      </c>
      <c r="AF43" s="18" t="s">
        <v>8</v>
      </c>
      <c r="AG43" s="9"/>
    </row>
    <row r="44" spans="1:36" s="8" customFormat="1" ht="22" customHeight="1" thickBot="1" x14ac:dyDescent="0.3">
      <c r="A44" s="6"/>
      <c r="B44" s="65" t="s">
        <v>18</v>
      </c>
      <c r="C44" s="66"/>
      <c r="D44" s="7" t="s">
        <v>17</v>
      </c>
      <c r="E44" s="67" t="s">
        <v>11</v>
      </c>
      <c r="F44" s="68"/>
      <c r="G44" s="13">
        <f>COUNTIF(E43:AF43,"H")</f>
        <v>20</v>
      </c>
      <c r="H44" s="67" t="s">
        <v>12</v>
      </c>
      <c r="I44" s="68"/>
      <c r="J44" s="13">
        <f>COUNTIF(E43:AF43,"T")</f>
        <v>5</v>
      </c>
      <c r="K44" s="67" t="s">
        <v>13</v>
      </c>
      <c r="L44" s="68"/>
      <c r="M44" s="13">
        <f>COUNTIF(E43:AF43,"A") + COUNTIF(E43:AF43,"I")</f>
        <v>3</v>
      </c>
      <c r="N44" s="67" t="s">
        <v>14</v>
      </c>
      <c r="O44" s="68"/>
      <c r="P44" s="13">
        <f>IF((G44+J44+M44)=0,0,(G44+J44)/(G44+J44+M44)*100)</f>
        <v>89.285714285714292</v>
      </c>
      <c r="Q44" s="67"/>
      <c r="R44" s="68"/>
      <c r="S44" s="13"/>
      <c r="T44" s="67"/>
      <c r="U44" s="68"/>
      <c r="V44" s="14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6"/>
    </row>
    <row r="45" spans="1:36" ht="22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ht="28.5" customHeight="1" x14ac:dyDescent="0.35">
      <c r="A46" s="2"/>
      <c r="B46" s="48" t="s">
        <v>19</v>
      </c>
      <c r="C46" s="48"/>
      <c r="D46" s="48"/>
      <c r="E46" s="48"/>
      <c r="F46" s="48"/>
      <c r="G46" s="48"/>
      <c r="H46" s="48"/>
      <c r="I46" s="48"/>
      <c r="J46" s="48"/>
      <c r="L46" s="49" t="s">
        <v>50</v>
      </c>
      <c r="M46" s="50"/>
      <c r="N46" s="50"/>
      <c r="O46" s="50"/>
      <c r="P46" s="50"/>
      <c r="Q46" s="50"/>
      <c r="R46" s="50"/>
      <c r="S46" s="50"/>
      <c r="T46" s="50"/>
      <c r="U46" s="50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6" ht="22" customHeight="1" x14ac:dyDescent="0.35">
      <c r="A47" s="2"/>
      <c r="B47" s="51"/>
      <c r="C47" s="51"/>
      <c r="D47" s="51"/>
      <c r="E47" s="51"/>
      <c r="F47" s="51"/>
      <c r="G47" s="51"/>
      <c r="H47" s="51"/>
      <c r="I47" s="51"/>
      <c r="J47" s="51"/>
      <c r="L47" s="52" t="s">
        <v>21</v>
      </c>
      <c r="M47" s="52"/>
      <c r="N47" s="52"/>
      <c r="O47" s="52"/>
      <c r="P47" s="52"/>
      <c r="Q47" s="52"/>
      <c r="R47" s="52"/>
      <c r="S47" s="52"/>
      <c r="T47" s="53">
        <v>28</v>
      </c>
      <c r="U47" s="54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6" ht="22" customHeight="1" x14ac:dyDescent="0.35">
      <c r="A48" s="2"/>
      <c r="B48" s="51"/>
      <c r="C48" s="51"/>
      <c r="D48" s="51"/>
      <c r="E48" s="51"/>
      <c r="F48" s="51"/>
      <c r="G48" s="51"/>
      <c r="H48" s="51"/>
      <c r="I48" s="51"/>
      <c r="J48" s="51"/>
      <c r="L48" s="52" t="s">
        <v>42</v>
      </c>
      <c r="M48" s="52"/>
      <c r="N48" s="52"/>
      <c r="O48" s="52"/>
      <c r="P48" s="52"/>
      <c r="Q48" s="52"/>
      <c r="R48" s="52"/>
      <c r="S48" s="52"/>
      <c r="T48" s="53">
        <v>20</v>
      </c>
      <c r="U48" s="54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1:36" ht="22" customHeight="1" x14ac:dyDescent="0.35">
      <c r="A49" s="2"/>
      <c r="B49" s="51"/>
      <c r="C49" s="51"/>
      <c r="D49" s="51"/>
      <c r="E49" s="51"/>
      <c r="F49" s="51"/>
      <c r="G49" s="51"/>
      <c r="H49" s="51"/>
      <c r="I49" s="51"/>
      <c r="J49" s="51"/>
      <c r="L49" s="55" t="s">
        <v>43</v>
      </c>
      <c r="M49" s="55"/>
      <c r="N49" s="55"/>
      <c r="O49" s="55"/>
      <c r="P49" s="55"/>
      <c r="Q49" s="55"/>
      <c r="R49" s="55"/>
      <c r="S49" s="55"/>
      <c r="T49" s="58">
        <f>T47*T48</f>
        <v>560</v>
      </c>
      <c r="U49" s="59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1:36" ht="22" customHeight="1" x14ac:dyDescent="0.35">
      <c r="A50" s="2"/>
      <c r="B50" s="51"/>
      <c r="C50" s="51"/>
      <c r="D50" s="51"/>
      <c r="E50" s="51"/>
      <c r="F50" s="51"/>
      <c r="G50" s="51"/>
      <c r="H50" s="51"/>
      <c r="I50" s="51"/>
      <c r="J50" s="51"/>
      <c r="L50" s="52" t="s">
        <v>44</v>
      </c>
      <c r="M50" s="52"/>
      <c r="N50" s="52"/>
      <c r="O50" s="52"/>
      <c r="P50" s="52"/>
      <c r="Q50" s="52"/>
      <c r="R50" s="52"/>
      <c r="S50" s="52"/>
      <c r="T50" s="60">
        <f>COUNTIF(E5:AF43,"H")</f>
        <v>404</v>
      </c>
      <c r="U50" s="61"/>
      <c r="AD50" s="2"/>
      <c r="AE50" s="2"/>
      <c r="AF50" s="2"/>
      <c r="AG50" s="2"/>
      <c r="AH50" s="2"/>
      <c r="AI50" s="2"/>
    </row>
    <row r="51" spans="1:36" ht="22" customHeight="1" x14ac:dyDescent="0.35">
      <c r="A51" s="2"/>
      <c r="B51" s="51"/>
      <c r="C51" s="51"/>
      <c r="D51" s="51"/>
      <c r="E51" s="51"/>
      <c r="F51" s="51"/>
      <c r="G51" s="51"/>
      <c r="H51" s="51"/>
      <c r="I51" s="51"/>
      <c r="J51" s="51"/>
      <c r="L51" s="52" t="s">
        <v>87</v>
      </c>
      <c r="M51" s="52"/>
      <c r="N51" s="52"/>
      <c r="O51" s="52"/>
      <c r="P51" s="52"/>
      <c r="Q51" s="52"/>
      <c r="R51" s="52"/>
      <c r="S51" s="52"/>
      <c r="T51" s="60">
        <f>COUNTIF(E5:AF43,"T")</f>
        <v>96</v>
      </c>
      <c r="U51" s="61"/>
      <c r="AD51" s="2"/>
      <c r="AE51" s="2"/>
      <c r="AF51" s="2"/>
      <c r="AG51" s="2"/>
      <c r="AH51" s="2"/>
      <c r="AI51" s="2"/>
    </row>
    <row r="52" spans="1:36" ht="22" customHeight="1" x14ac:dyDescent="0.35">
      <c r="A52" s="2"/>
      <c r="B52" s="51"/>
      <c r="C52" s="51"/>
      <c r="D52" s="51"/>
      <c r="E52" s="51"/>
      <c r="F52" s="51"/>
      <c r="G52" s="51"/>
      <c r="H52" s="51"/>
      <c r="I52" s="51"/>
      <c r="J52" s="51"/>
      <c r="L52" s="52" t="s">
        <v>88</v>
      </c>
      <c r="M52" s="52"/>
      <c r="N52" s="52"/>
      <c r="O52" s="52"/>
      <c r="P52" s="52"/>
      <c r="Q52" s="52"/>
      <c r="R52" s="52"/>
      <c r="S52" s="52"/>
      <c r="T52" s="60">
        <f>COUNTIF(E5:AF43,"A")+COUNTIF(E5:AF43,"I")</f>
        <v>60</v>
      </c>
      <c r="U52" s="61"/>
      <c r="AD52" s="2"/>
      <c r="AE52" s="2"/>
      <c r="AF52" s="2"/>
      <c r="AG52" s="2"/>
      <c r="AH52" s="2"/>
      <c r="AI52" s="2"/>
    </row>
    <row r="53" spans="1:36" ht="22" customHeight="1" x14ac:dyDescent="0.35">
      <c r="A53" s="2"/>
      <c r="B53" s="51"/>
      <c r="C53" s="51"/>
      <c r="D53" s="51"/>
      <c r="E53" s="51"/>
      <c r="F53" s="51"/>
      <c r="G53" s="51"/>
      <c r="H53" s="51"/>
      <c r="I53" s="51"/>
      <c r="J53" s="51"/>
      <c r="L53" s="52" t="s">
        <v>47</v>
      </c>
      <c r="M53" s="52"/>
      <c r="N53" s="52"/>
      <c r="O53" s="52"/>
      <c r="P53" s="52"/>
      <c r="Q53" s="52"/>
      <c r="R53" s="52"/>
      <c r="S53" s="52"/>
      <c r="T53" s="56">
        <f>IF((T50+T51+T52)=0,0,(T50+T51)/( T50+T51+T52))</f>
        <v>0.8928571428571429</v>
      </c>
      <c r="U53" s="57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1:36" ht="16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ht="16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ht="16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ht="16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ht="16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ht="16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ht="16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spans="1:36" ht="16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ht="16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6" ht="16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ht="16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ht="16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ht="16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spans="1:36" ht="16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6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spans="1:36" ht="16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spans="1:36" ht="16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spans="1:36" ht="16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spans="1:36" ht="16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spans="1:36" ht="16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6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6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6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spans="1:36" ht="16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spans="1:36" ht="16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spans="1:36" ht="16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6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6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spans="1:36" ht="16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spans="1:36" ht="16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spans="1:36" ht="16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spans="1:36" ht="16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spans="1:36" ht="16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spans="1:36" ht="16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spans="1:36" ht="16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6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spans="1:36" ht="16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spans="1:36" ht="16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spans="1:36" ht="16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spans="1:36" ht="16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spans="1:36" ht="16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spans="1:36" ht="16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spans="1:36" ht="16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spans="1:36" ht="16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spans="1:36" ht="16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spans="1:36" ht="16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spans="1:36" ht="16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spans="1:36" ht="16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spans="1:36" ht="16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spans="1:36" ht="16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spans="1:36" ht="16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spans="1:36" ht="16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spans="1:36" ht="16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spans="1:36" ht="16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spans="1:36" ht="16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spans="1:36" ht="16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spans="1:36" ht="16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spans="1:36" ht="16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spans="1:36" ht="16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spans="1:36" ht="16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spans="1:36" ht="16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spans="1:36" ht="16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spans="1:36" ht="16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spans="1:36" ht="16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spans="1:36" ht="16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spans="1:36" ht="16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spans="1:36" ht="16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6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6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6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6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6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6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6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6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6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6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6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6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6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6" ht="16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6" ht="16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6" ht="16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6" ht="16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6" ht="16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6" ht="16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spans="1:36" ht="16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spans="1:36" ht="16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spans="1:36" ht="16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spans="1:36" ht="16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spans="1:36" ht="16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spans="1:36" ht="16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spans="1:36" ht="16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spans="1:36" ht="16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spans="1:36" ht="16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spans="1:36" ht="16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spans="1:36" ht="16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spans="1:36" ht="16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spans="1:36" ht="16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spans="1:36" ht="16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spans="1:36" ht="16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spans="1:36" ht="16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spans="1:36" ht="16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spans="1:36" ht="16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spans="1:36" ht="16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spans="1:36" ht="16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spans="1:36" ht="16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spans="1:36" ht="16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spans="1:36" ht="16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spans="1:36" ht="16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spans="1:36" ht="16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spans="1:36" ht="16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spans="1:36" ht="16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spans="1:36" ht="16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spans="1:36" ht="16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spans="1:36" ht="16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spans="1:36" ht="16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spans="1:36" ht="16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spans="1:36" ht="16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spans="1:36" ht="16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spans="1:36" ht="16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spans="1:36" ht="16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spans="1:36" ht="16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spans="1:36" ht="16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spans="1:36" ht="16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spans="1:36" ht="16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spans="1:36" ht="16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spans="1:36" ht="16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spans="1:36" ht="16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spans="1:36" ht="16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spans="1:36" ht="16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spans="1:36" ht="16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spans="1:36" ht="16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spans="1:36" ht="16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spans="1:36" ht="16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spans="1:36" ht="16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spans="1:36" ht="16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spans="1:36" ht="16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spans="1:36" ht="16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spans="1:36" ht="16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spans="1:36" ht="16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spans="1:36" ht="16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spans="1:36" ht="16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spans="1:36" ht="16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spans="1:36" ht="16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spans="1:36" ht="16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spans="1:36" ht="16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spans="1:36" ht="16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spans="1:36" ht="16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spans="1:36" ht="16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spans="1:36" ht="16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spans="1:36" ht="16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spans="1:36" ht="16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spans="1:36" ht="16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spans="1:36" ht="16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spans="1:36" ht="16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spans="1:36" ht="16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spans="1:36" ht="16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spans="1:36" ht="16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spans="1:36" ht="16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spans="1:36" ht="16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spans="1:36" ht="16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spans="1:36" ht="16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spans="1:36" ht="16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spans="1:36" ht="16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spans="1:36" ht="16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spans="1:36" ht="16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spans="1:36" ht="16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spans="1:36" ht="16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spans="1:36" ht="16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spans="1:36" ht="16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spans="1:36" ht="16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spans="1:36" ht="16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spans="1:36" ht="16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spans="1:36" ht="16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spans="1:36" ht="16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spans="1:36" ht="16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spans="1:36" ht="16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spans="1:36" ht="16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spans="1:36" ht="16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spans="1:36" ht="16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spans="1:36" ht="16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spans="1:36" ht="16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spans="1:36" ht="16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spans="1:36" ht="16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spans="1:36" ht="16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spans="1:36" ht="16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spans="1:36" ht="16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spans="1:36" ht="16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spans="1:36" ht="16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spans="1:36" ht="16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spans="1:36" ht="16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spans="1:36" ht="16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spans="1:36" ht="16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spans="1:36" ht="16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spans="1:36" ht="16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spans="1:36" ht="16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spans="1:36" ht="16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spans="1:36" ht="16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spans="1:36" ht="16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spans="1:36" ht="16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spans="1:36" ht="16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spans="1:36" ht="16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spans="1:36" ht="16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spans="1:36" ht="16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spans="1:36" ht="16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spans="1:36" ht="16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spans="1:36" ht="16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spans="1:36" ht="16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spans="1:36" ht="16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spans="1:36" ht="16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spans="1:36" ht="16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spans="1:36" ht="16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spans="1:36" ht="16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spans="1:36" ht="16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spans="1:36" ht="16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spans="1:36" ht="16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spans="1:36" ht="16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spans="1:36" ht="16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spans="1:36" ht="16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spans="1:36" ht="16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spans="1:36" ht="16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spans="1:36" ht="16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spans="1:36" ht="16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spans="1:36" ht="16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spans="1:36" ht="16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spans="1:36" ht="16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spans="1:36" ht="16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spans="1:36" ht="16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spans="1:36" ht="16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spans="1:36" ht="16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spans="1:36" ht="16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spans="1:36" ht="16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spans="1:36" ht="16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spans="1:36" ht="16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spans="1:36" ht="16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spans="1:36" ht="16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spans="1:36" ht="16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spans="1:36" ht="16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spans="1:36" ht="16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spans="1:36" ht="16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spans="1:36" ht="16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spans="1:36" ht="16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spans="1:36" ht="16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spans="1:36" ht="16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spans="1:36" ht="16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spans="1:36" ht="16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spans="1:36" ht="16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spans="1:36" ht="16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spans="1:36" ht="16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spans="1:36" ht="16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spans="1:36" ht="16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spans="1:36" ht="16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spans="1:36" ht="16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spans="1:36" ht="16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spans="1:36" ht="16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spans="1:36" ht="16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spans="1:36" ht="16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spans="1:36" ht="16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spans="1:36" ht="16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spans="1:36" ht="16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spans="1:36" ht="16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spans="1:36" ht="16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spans="1:36" ht="16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spans="1:36" ht="16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spans="1:36" ht="16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spans="1:36" ht="16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spans="1:36" ht="16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spans="1:36" ht="16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spans="1:36" ht="16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spans="1:36" ht="16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spans="1:36" ht="16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spans="1:36" ht="16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spans="1:36" ht="16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spans="1:36" ht="16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spans="1:36" ht="16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spans="1:36" ht="16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spans="1:36" ht="16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spans="1:36" ht="16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spans="1:36" ht="16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spans="1:36" ht="16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spans="1:36" ht="16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spans="1:36" ht="16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spans="1:36" ht="16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spans="1:36" ht="16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spans="1:36" ht="16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spans="1:36" ht="16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spans="1:36" ht="16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spans="1:36" ht="16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spans="1:36" ht="16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spans="1:36" ht="16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spans="1:36" ht="16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spans="1:36" ht="16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spans="1:36" ht="16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spans="1:36" ht="16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spans="1:36" ht="16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spans="1:36" ht="16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spans="1:36" ht="16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spans="1:36" ht="16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spans="1:36" ht="16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spans="1:36" ht="16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spans="1:36" ht="16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spans="1:36" ht="16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spans="1:36" ht="16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spans="1:36" ht="16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spans="1:36" ht="16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spans="1:36" ht="16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spans="1:36" ht="16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spans="1:36" ht="16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spans="1:36" ht="16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spans="1:36" ht="16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spans="1:36" ht="16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spans="1:36" ht="16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spans="1:36" ht="16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spans="1:36" ht="16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spans="1:36" ht="16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spans="1:36" ht="16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spans="1:36" ht="16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spans="1:36" ht="16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spans="1:36" ht="16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spans="1:36" ht="16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spans="1:36" ht="16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spans="1:36" ht="16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spans="1:36" ht="16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spans="1:36" ht="16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spans="1:36" ht="16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spans="1:36" ht="16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spans="1:36" ht="16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spans="1:36" ht="16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spans="1:36" ht="16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spans="1:36" ht="16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spans="1:36" ht="16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spans="1:36" ht="16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spans="1:36" ht="16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spans="1:36" ht="16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spans="1:36" ht="16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spans="1:36" ht="16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spans="1:36" ht="16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spans="1:36" ht="16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spans="1:36" ht="16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spans="1:36" ht="16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spans="1:36" ht="16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spans="1:36" ht="16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spans="1:36" ht="16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spans="1:36" ht="16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spans="1:36" ht="16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spans="1:36" ht="16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spans="1:36" ht="16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spans="1:36" ht="16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spans="1:36" ht="16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spans="1:36" ht="16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spans="1:36" ht="16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spans="1:36" ht="16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spans="1:36" ht="16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spans="1:36" ht="16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spans="1:36" ht="16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spans="1:36" ht="16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spans="1:36" ht="16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spans="1:36" ht="16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spans="1:36" ht="16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spans="1:36" ht="16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spans="1:36" ht="16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spans="1:36" ht="16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spans="1:36" ht="16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spans="1:36" ht="16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spans="1:36" ht="16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spans="1:36" ht="16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spans="1:36" ht="16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spans="1:36" ht="16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spans="1:36" ht="16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spans="1:36" ht="16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spans="1:36" ht="16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spans="1:36" ht="16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spans="1:36" ht="16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spans="1:36" ht="16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spans="1:36" ht="16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spans="1:36" ht="16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spans="1:36" ht="16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spans="1:36" ht="16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spans="1:36" ht="16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spans="1:36" ht="16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spans="1:36" ht="16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spans="1:36" ht="16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spans="1:36" ht="16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spans="1:36" ht="16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spans="1:36" ht="16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spans="1:36" ht="16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spans="1:36" ht="16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spans="1:36" ht="16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spans="1:36" ht="16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spans="1:36" ht="16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spans="1:36" ht="16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spans="1:36" ht="16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spans="1:36" ht="16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spans="1:36" ht="16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spans="1:36" ht="16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spans="1:36" ht="16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spans="1:36" ht="16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spans="1:36" ht="16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spans="1:36" ht="16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spans="1:36" ht="16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spans="1:36" ht="16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spans="1:36" ht="16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spans="1:36" ht="16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spans="1:36" ht="16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spans="1:36" ht="16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spans="1:36" ht="16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spans="1:36" ht="16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spans="1:36" ht="16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spans="1:36" ht="16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spans="1:36" ht="16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spans="1:36" ht="16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spans="1:36" ht="16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spans="1:36" ht="16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spans="1:36" ht="16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spans="1:36" ht="16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spans="1:36" ht="16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spans="1:36" ht="16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spans="1:36" ht="16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spans="1:36" ht="16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spans="1:36" ht="16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spans="1:36" ht="16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spans="1:36" ht="16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spans="1:36" ht="16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spans="1:36" ht="16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spans="1:36" ht="16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spans="1:36" ht="16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spans="1:36" ht="16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spans="1:36" ht="16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spans="1:36" ht="16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spans="1:36" ht="16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spans="1:36" ht="16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spans="1:36" ht="16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spans="1:36" ht="16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spans="1:36" ht="16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spans="1:36" ht="16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spans="1:36" ht="16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spans="1:36" ht="16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spans="1:36" ht="16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spans="1:36" ht="16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spans="1:36" ht="16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spans="1:36" ht="16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spans="1:36" ht="16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spans="1:36" ht="16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spans="1:36" ht="16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spans="1:36" ht="16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spans="1:36" ht="16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spans="1:36" ht="16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spans="1:36" ht="16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spans="1:36" ht="16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spans="1:36" ht="16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spans="1:36" ht="16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spans="1:36" ht="16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spans="1:36" ht="16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spans="1:36" ht="16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spans="1:36" ht="16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spans="1:36" ht="16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spans="1:36" ht="16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spans="1:36" ht="16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spans="1:36" ht="16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spans="1:36" ht="16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spans="1:36" ht="16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spans="1:36" ht="16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spans="1:36" ht="16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spans="1:36" ht="16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spans="1:36" ht="16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spans="1:36" ht="16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spans="1:36" ht="16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spans="1:36" ht="16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spans="1:36" ht="16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spans="1:36" ht="16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spans="1:36" ht="16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spans="1:36" ht="16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spans="1:36" ht="16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spans="1:36" ht="16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spans="1:36" ht="16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spans="1:36" ht="16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spans="1:36" ht="16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spans="1:36" ht="16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spans="1:36" ht="16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spans="1:36" ht="16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spans="1:36" ht="16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spans="1:36" ht="16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spans="1:36" ht="16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spans="1:36" ht="16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spans="1:36" ht="16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spans="1:36" ht="16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spans="1:36" ht="16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spans="1:36" ht="16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spans="1:36" ht="16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spans="1:36" ht="16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spans="1:36" ht="16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spans="1:36" ht="16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spans="1:36" ht="16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spans="1:36" ht="16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spans="1:36" ht="16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spans="1:36" ht="16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spans="1:36" ht="16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spans="1:36" ht="16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spans="1:36" ht="16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spans="1:36" ht="16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spans="1:36" ht="16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spans="1:36" ht="16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spans="1:36" ht="16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spans="1:36" ht="16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spans="1:36" ht="16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spans="1:36" ht="16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spans="1:36" ht="16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spans="1:36" ht="16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spans="1:36" ht="16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spans="1:36" ht="16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spans="1:36" ht="16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spans="1:36" ht="16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spans="1:36" ht="16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spans="1:36" ht="16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spans="1:36" ht="16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spans="1:36" ht="16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spans="1:36" ht="16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spans="1:36" ht="16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spans="1:36" ht="16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spans="1:36" ht="16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spans="1:36" ht="16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spans="1:36" ht="16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spans="1:36" ht="16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spans="1:36" ht="16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spans="1:36" ht="16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spans="1:36" ht="16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spans="1:36" ht="16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spans="1:36" ht="16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spans="1:36" ht="16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spans="1:36" ht="16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spans="1:36" ht="16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spans="1:36" ht="16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spans="1:36" ht="16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spans="1:36" ht="16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spans="1:36" ht="16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spans="1:36" ht="16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spans="1:36" ht="16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spans="1:36" ht="16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spans="1:36" ht="16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spans="1:36" ht="16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spans="1:36" ht="16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spans="1:36" ht="16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spans="1:36" ht="16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spans="1:36" ht="16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spans="1:36" ht="16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spans="1:36" ht="16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spans="1:36" ht="16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spans="1:36" ht="16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spans="1:36" ht="16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spans="1:36" ht="16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spans="1:36" ht="16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spans="1:36" ht="16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spans="1:36" ht="16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spans="1:36" ht="16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spans="1:36" ht="16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spans="1:36" ht="16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spans="1:36" ht="16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spans="1:36" ht="16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spans="1:36" ht="16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spans="1:36" ht="16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spans="1:36" ht="16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spans="1:36" ht="16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spans="1:36" ht="16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spans="1:36" ht="16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spans="1:36" ht="16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spans="1:36" ht="16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spans="1:36" ht="16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spans="1:36" ht="16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spans="1:36" ht="16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spans="1:36" ht="16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spans="1:36" ht="16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spans="1:36" ht="16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spans="1:36" ht="16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spans="1:36" ht="16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spans="1:36" ht="16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spans="1:36" ht="16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spans="1:36" ht="16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spans="1:36" ht="16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spans="1:36" ht="16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spans="1:36" ht="16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spans="1:36" ht="16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spans="1:36" ht="16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spans="1:36" ht="16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spans="1:36" ht="16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spans="1:36" ht="16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spans="1:36" ht="16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spans="1:36" ht="16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spans="1:36" ht="16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spans="1:36" ht="16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spans="1:36" ht="16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spans="1:36" ht="16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spans="1:36" ht="16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spans="1:36" ht="16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spans="1:36" ht="16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spans="1:36" ht="16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spans="1:36" ht="16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</sheetData>
  <mergeCells count="184">
    <mergeCell ref="M2:N2"/>
    <mergeCell ref="Q2:R2"/>
    <mergeCell ref="U2:W2"/>
    <mergeCell ref="C4:D4"/>
    <mergeCell ref="B5:D5"/>
    <mergeCell ref="B6:C6"/>
    <mergeCell ref="E6:F6"/>
    <mergeCell ref="H6:I6"/>
    <mergeCell ref="K6:L6"/>
    <mergeCell ref="B2:D2"/>
    <mergeCell ref="E2:F2"/>
    <mergeCell ref="I2:J2"/>
    <mergeCell ref="N6:O6"/>
    <mergeCell ref="Q6:R6"/>
    <mergeCell ref="T6:U6"/>
    <mergeCell ref="B7:D7"/>
    <mergeCell ref="B8:C8"/>
    <mergeCell ref="E8:F8"/>
    <mergeCell ref="H8:I8"/>
    <mergeCell ref="K8:L8"/>
    <mergeCell ref="N8:O8"/>
    <mergeCell ref="Q8:R8"/>
    <mergeCell ref="B11:D11"/>
    <mergeCell ref="B12:C12"/>
    <mergeCell ref="E12:F12"/>
    <mergeCell ref="H12:I12"/>
    <mergeCell ref="K12:L12"/>
    <mergeCell ref="N12:O12"/>
    <mergeCell ref="T8:U8"/>
    <mergeCell ref="B9:D9"/>
    <mergeCell ref="B10:C10"/>
    <mergeCell ref="E10:F10"/>
    <mergeCell ref="H10:I10"/>
    <mergeCell ref="K10:L10"/>
    <mergeCell ref="N10:O10"/>
    <mergeCell ref="Q10:R10"/>
    <mergeCell ref="T10:U10"/>
    <mergeCell ref="B15:D15"/>
    <mergeCell ref="B16:C16"/>
    <mergeCell ref="E16:F16"/>
    <mergeCell ref="H16:I16"/>
    <mergeCell ref="K16:L16"/>
    <mergeCell ref="N16:O16"/>
    <mergeCell ref="Q12:R12"/>
    <mergeCell ref="T12:U12"/>
    <mergeCell ref="B13:D13"/>
    <mergeCell ref="B14:C14"/>
    <mergeCell ref="E14:F14"/>
    <mergeCell ref="H14:I14"/>
    <mergeCell ref="K14:L14"/>
    <mergeCell ref="N14:O14"/>
    <mergeCell ref="Q14:R14"/>
    <mergeCell ref="T14:U14"/>
    <mergeCell ref="B19:D19"/>
    <mergeCell ref="B20:C20"/>
    <mergeCell ref="E20:F20"/>
    <mergeCell ref="H20:I20"/>
    <mergeCell ref="K20:L20"/>
    <mergeCell ref="N20:O20"/>
    <mergeCell ref="Q16:R16"/>
    <mergeCell ref="T16:U16"/>
    <mergeCell ref="B17:D17"/>
    <mergeCell ref="B18:C18"/>
    <mergeCell ref="E18:F18"/>
    <mergeCell ref="H18:I18"/>
    <mergeCell ref="K18:L18"/>
    <mergeCell ref="N18:O18"/>
    <mergeCell ref="Q18:R18"/>
    <mergeCell ref="T18:U18"/>
    <mergeCell ref="B23:D23"/>
    <mergeCell ref="B24:C24"/>
    <mergeCell ref="E24:F24"/>
    <mergeCell ref="H24:I24"/>
    <mergeCell ref="K24:L24"/>
    <mergeCell ref="N24:O24"/>
    <mergeCell ref="Q20:R20"/>
    <mergeCell ref="T20:U20"/>
    <mergeCell ref="B21:D21"/>
    <mergeCell ref="B22:C22"/>
    <mergeCell ref="E22:F22"/>
    <mergeCell ref="H22:I22"/>
    <mergeCell ref="K22:L22"/>
    <mergeCell ref="N22:O22"/>
    <mergeCell ref="Q22:R22"/>
    <mergeCell ref="T22:U22"/>
    <mergeCell ref="B27:D27"/>
    <mergeCell ref="B28:C28"/>
    <mergeCell ref="E28:F28"/>
    <mergeCell ref="H28:I28"/>
    <mergeCell ref="K28:L28"/>
    <mergeCell ref="N28:O28"/>
    <mergeCell ref="Q24:R24"/>
    <mergeCell ref="T24:U24"/>
    <mergeCell ref="B25:D25"/>
    <mergeCell ref="B26:C26"/>
    <mergeCell ref="E26:F26"/>
    <mergeCell ref="H26:I26"/>
    <mergeCell ref="K26:L26"/>
    <mergeCell ref="N26:O26"/>
    <mergeCell ref="Q26:R26"/>
    <mergeCell ref="T26:U26"/>
    <mergeCell ref="B31:D31"/>
    <mergeCell ref="B32:C32"/>
    <mergeCell ref="E32:F32"/>
    <mergeCell ref="H32:I32"/>
    <mergeCell ref="K32:L32"/>
    <mergeCell ref="N32:O32"/>
    <mergeCell ref="Q28:R28"/>
    <mergeCell ref="T28:U28"/>
    <mergeCell ref="B29:D29"/>
    <mergeCell ref="B30:C30"/>
    <mergeCell ref="E30:F30"/>
    <mergeCell ref="H30:I30"/>
    <mergeCell ref="K30:L30"/>
    <mergeCell ref="N30:O30"/>
    <mergeCell ref="Q30:R30"/>
    <mergeCell ref="T30:U30"/>
    <mergeCell ref="B35:D35"/>
    <mergeCell ref="B36:C36"/>
    <mergeCell ref="E36:F36"/>
    <mergeCell ref="H36:I36"/>
    <mergeCell ref="K36:L36"/>
    <mergeCell ref="N36:O36"/>
    <mergeCell ref="Q32:R32"/>
    <mergeCell ref="T32:U32"/>
    <mergeCell ref="B33:D33"/>
    <mergeCell ref="B34:C34"/>
    <mergeCell ref="E34:F34"/>
    <mergeCell ref="H34:I34"/>
    <mergeCell ref="K34:L34"/>
    <mergeCell ref="N34:O34"/>
    <mergeCell ref="Q34:R34"/>
    <mergeCell ref="T34:U34"/>
    <mergeCell ref="B39:D39"/>
    <mergeCell ref="B40:C40"/>
    <mergeCell ref="E40:F40"/>
    <mergeCell ref="H40:I40"/>
    <mergeCell ref="K40:L40"/>
    <mergeCell ref="N40:O40"/>
    <mergeCell ref="Q36:R36"/>
    <mergeCell ref="T36:U36"/>
    <mergeCell ref="B37:D37"/>
    <mergeCell ref="B38:C38"/>
    <mergeCell ref="E38:F38"/>
    <mergeCell ref="H38:I38"/>
    <mergeCell ref="K38:L38"/>
    <mergeCell ref="N38:O38"/>
    <mergeCell ref="Q38:R38"/>
    <mergeCell ref="T38:U38"/>
    <mergeCell ref="B43:D43"/>
    <mergeCell ref="B44:C44"/>
    <mergeCell ref="E44:F44"/>
    <mergeCell ref="H44:I44"/>
    <mergeCell ref="K44:L44"/>
    <mergeCell ref="N44:O44"/>
    <mergeCell ref="Q40:R40"/>
    <mergeCell ref="T40:U40"/>
    <mergeCell ref="B41:D41"/>
    <mergeCell ref="B42:C42"/>
    <mergeCell ref="E42:F42"/>
    <mergeCell ref="H42:I42"/>
    <mergeCell ref="K42:L42"/>
    <mergeCell ref="N42:O42"/>
    <mergeCell ref="Q42:R42"/>
    <mergeCell ref="T42:U42"/>
    <mergeCell ref="Q44:R44"/>
    <mergeCell ref="T44:U44"/>
    <mergeCell ref="B46:J46"/>
    <mergeCell ref="L46:U46"/>
    <mergeCell ref="B47:J53"/>
    <mergeCell ref="L47:S47"/>
    <mergeCell ref="T47:U47"/>
    <mergeCell ref="L48:S48"/>
    <mergeCell ref="T48:U48"/>
    <mergeCell ref="L49:S49"/>
    <mergeCell ref="L53:S53"/>
    <mergeCell ref="T53:U53"/>
    <mergeCell ref="T49:U49"/>
    <mergeCell ref="L50:S50"/>
    <mergeCell ref="T50:U50"/>
    <mergeCell ref="L51:S51"/>
    <mergeCell ref="T51:U51"/>
    <mergeCell ref="L52:S52"/>
    <mergeCell ref="T52:U52"/>
  </mergeCells>
  <conditionalFormatting sqref="E5:AF44">
    <cfRule type="cellIs" dxfId="120" priority="1" operator="equal">
      <formula>"H"</formula>
    </cfRule>
    <cfRule type="cellIs" dxfId="119" priority="6" operator="equal">
      <formula>"I"</formula>
    </cfRule>
    <cfRule type="cellIs" dxfId="118" priority="7" operator="equal">
      <formula>"T"</formula>
    </cfRule>
    <cfRule type="cellIs" dxfId="117" priority="8" operator="equal">
      <formula>"A"</formula>
    </cfRule>
  </conditionalFormatting>
  <conditionalFormatting sqref="G2 K2 O2">
    <cfRule type="cellIs" dxfId="116" priority="2" operator="equal">
      <formula>"I"</formula>
    </cfRule>
    <cfRule type="cellIs" dxfId="115" priority="9" operator="equal">
      <formula>"H"</formula>
    </cfRule>
    <cfRule type="cellIs" dxfId="114" priority="10" operator="equal">
      <formula>"T"</formula>
    </cfRule>
    <cfRule type="cellIs" dxfId="113" priority="11" operator="equal">
      <formula>"A"</formula>
    </cfRule>
  </conditionalFormatting>
  <conditionalFormatting sqref="S2">
    <cfRule type="cellIs" dxfId="112" priority="3" operator="equal">
      <formula>"H"</formula>
    </cfRule>
    <cfRule type="cellIs" dxfId="111" priority="4" operator="equal">
      <formula>"T"</formula>
    </cfRule>
    <cfRule type="cellIs" dxfId="110" priority="5" operator="equal">
      <formula>"A"</formula>
    </cfRule>
  </conditionalFormatting>
  <pageMargins left="0.4" right="0.4" top="0.4" bottom="0.4" header="0" footer="0"/>
  <pageSetup paperSize="3" scale="42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CCEEE-9FD0-4E87-BCF8-09922D6DFF1D}">
  <sheetPr codeName="Sheet4">
    <tabColor rgb="FFE6D92E"/>
    <outlinePr summaryBelow="0" summaryRight="0"/>
    <pageSetUpPr fitToPage="1"/>
  </sheetPr>
  <dimension ref="A1:AJ650"/>
  <sheetViews>
    <sheetView showGridLines="0" topLeftCell="I41" zoomScaleNormal="100" workbookViewId="0">
      <selection activeCell="L53" sqref="L53:S53"/>
    </sheetView>
  </sheetViews>
  <sheetFormatPr defaultColWidth="14.453125" defaultRowHeight="15.75" customHeight="1" x14ac:dyDescent="0.25"/>
  <cols>
    <col min="1" max="1" width="3.36328125" style="1" customWidth="1"/>
    <col min="2" max="2" width="19.36328125" style="1" customWidth="1"/>
    <col min="3" max="4" width="14.81640625" style="1" customWidth="1"/>
    <col min="5" max="35" width="7.81640625" style="1" customWidth="1"/>
    <col min="36" max="36" width="3.36328125" style="1" customWidth="1"/>
    <col min="37" max="16384" width="14.453125" style="1"/>
  </cols>
  <sheetData>
    <row r="1" spans="1:36" ht="50" customHeight="1" thickBot="1" x14ac:dyDescent="0.4">
      <c r="A1" s="2"/>
      <c r="B1" s="20" t="s">
        <v>57</v>
      </c>
      <c r="C1" s="2"/>
      <c r="D1" s="3"/>
      <c r="E1" s="4"/>
      <c r="F1" s="2"/>
      <c r="G1" s="3"/>
      <c r="H1" s="3"/>
      <c r="I1" s="2"/>
      <c r="J1" s="2"/>
      <c r="K1" s="3"/>
      <c r="L1" s="3"/>
      <c r="M1" s="2"/>
      <c r="N1" s="2"/>
      <c r="O1" s="3"/>
      <c r="P1" s="3"/>
      <c r="R1" s="2"/>
      <c r="S1" s="3"/>
      <c r="T1" s="3"/>
      <c r="V1" s="2"/>
      <c r="X1" s="2"/>
      <c r="Y1" s="2"/>
      <c r="Z1" s="2"/>
      <c r="AA1" s="2"/>
      <c r="AB1" s="2"/>
      <c r="AC1" s="2"/>
      <c r="AD1" s="2"/>
      <c r="AE1" s="2"/>
      <c r="AF1" s="2"/>
      <c r="AH1" s="2"/>
      <c r="AI1" s="2"/>
      <c r="AJ1" s="2"/>
    </row>
    <row r="2" spans="1:36" ht="44" customHeight="1" x14ac:dyDescent="0.35">
      <c r="A2" s="2"/>
      <c r="B2" s="76" t="s">
        <v>3</v>
      </c>
      <c r="C2" s="76"/>
      <c r="D2" s="77"/>
      <c r="E2" s="42" t="s">
        <v>4</v>
      </c>
      <c r="F2" s="43"/>
      <c r="G2" s="21" t="s">
        <v>8</v>
      </c>
      <c r="I2" s="44" t="s">
        <v>5</v>
      </c>
      <c r="J2" s="45"/>
      <c r="K2" s="11" t="s">
        <v>9</v>
      </c>
      <c r="M2" s="46" t="s">
        <v>7</v>
      </c>
      <c r="N2" s="47"/>
      <c r="O2" s="12" t="s">
        <v>10</v>
      </c>
      <c r="Q2" s="46" t="s">
        <v>6</v>
      </c>
      <c r="R2" s="47"/>
      <c r="S2" s="12" t="s">
        <v>0</v>
      </c>
      <c r="T2" s="23"/>
      <c r="U2" s="40"/>
      <c r="V2" s="40"/>
      <c r="W2" s="40"/>
      <c r="X2" s="22"/>
      <c r="AC2" s="2"/>
      <c r="AD2" s="2"/>
      <c r="AE2" s="2"/>
      <c r="AF2" s="2"/>
      <c r="AG2" s="2"/>
      <c r="AH2" s="2"/>
      <c r="AI2" s="2"/>
      <c r="AJ2" s="2"/>
    </row>
    <row r="3" spans="1:36" ht="16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ht="25" customHeight="1" x14ac:dyDescent="0.35">
      <c r="A4" s="2"/>
      <c r="B4" s="25" t="s">
        <v>16</v>
      </c>
      <c r="C4" s="73" t="s">
        <v>51</v>
      </c>
      <c r="D4" s="74"/>
      <c r="E4" s="24">
        <v>1</v>
      </c>
      <c r="F4" s="24">
        <v>2</v>
      </c>
      <c r="G4" s="24">
        <v>3</v>
      </c>
      <c r="H4" s="24">
        <v>4</v>
      </c>
      <c r="I4" s="24">
        <v>5</v>
      </c>
      <c r="J4" s="24">
        <v>6</v>
      </c>
      <c r="K4" s="24">
        <v>7</v>
      </c>
      <c r="L4" s="24">
        <v>8</v>
      </c>
      <c r="M4" s="24">
        <v>9</v>
      </c>
      <c r="N4" s="24">
        <v>10</v>
      </c>
      <c r="O4" s="24">
        <v>11</v>
      </c>
      <c r="P4" s="24">
        <v>12</v>
      </c>
      <c r="Q4" s="24">
        <v>13</v>
      </c>
      <c r="R4" s="24">
        <v>14</v>
      </c>
      <c r="S4" s="24">
        <v>15</v>
      </c>
      <c r="T4" s="24">
        <v>16</v>
      </c>
      <c r="U4" s="24">
        <v>17</v>
      </c>
      <c r="V4" s="24">
        <v>18</v>
      </c>
      <c r="W4" s="24">
        <v>19</v>
      </c>
      <c r="X4" s="24">
        <v>20</v>
      </c>
      <c r="Y4" s="24">
        <v>21</v>
      </c>
      <c r="Z4" s="24">
        <v>22</v>
      </c>
      <c r="AA4" s="24">
        <v>23</v>
      </c>
      <c r="AB4" s="24">
        <v>24</v>
      </c>
      <c r="AC4" s="24">
        <v>25</v>
      </c>
      <c r="AD4" s="24">
        <v>26</v>
      </c>
      <c r="AE4" s="24">
        <v>27</v>
      </c>
      <c r="AF4" s="24">
        <v>28</v>
      </c>
      <c r="AG4" s="24">
        <v>29</v>
      </c>
      <c r="AH4" s="24">
        <v>30</v>
      </c>
      <c r="AI4" s="24">
        <v>31</v>
      </c>
      <c r="AJ4" s="2"/>
    </row>
    <row r="5" spans="1:36" ht="22" customHeight="1" x14ac:dyDescent="0.35">
      <c r="A5" s="2"/>
      <c r="B5" s="75" t="s">
        <v>22</v>
      </c>
      <c r="C5" s="75"/>
      <c r="D5" s="75"/>
      <c r="E5" s="16" t="s">
        <v>10</v>
      </c>
      <c r="F5" s="16" t="s">
        <v>0</v>
      </c>
      <c r="G5" s="17" t="s">
        <v>8</v>
      </c>
      <c r="H5" s="17" t="s">
        <v>8</v>
      </c>
      <c r="I5" s="17" t="s">
        <v>8</v>
      </c>
      <c r="J5" s="17" t="s">
        <v>8</v>
      </c>
      <c r="K5" s="17" t="s">
        <v>8</v>
      </c>
      <c r="L5" s="19" t="s">
        <v>8</v>
      </c>
      <c r="M5" s="19" t="s">
        <v>9</v>
      </c>
      <c r="N5" s="18" t="s">
        <v>9</v>
      </c>
      <c r="O5" s="18" t="s">
        <v>8</v>
      </c>
      <c r="P5" s="18" t="s">
        <v>9</v>
      </c>
      <c r="Q5" s="18" t="s">
        <v>8</v>
      </c>
      <c r="R5" s="18" t="s">
        <v>8</v>
      </c>
      <c r="S5" s="18" t="s">
        <v>8</v>
      </c>
      <c r="T5" s="18" t="s">
        <v>8</v>
      </c>
      <c r="U5" s="18" t="s">
        <v>9</v>
      </c>
      <c r="V5" s="18" t="s">
        <v>8</v>
      </c>
      <c r="W5" s="18" t="s">
        <v>8</v>
      </c>
      <c r="X5" s="18" t="s">
        <v>8</v>
      </c>
      <c r="Y5" s="18" t="s">
        <v>9</v>
      </c>
      <c r="Z5" s="18" t="s">
        <v>0</v>
      </c>
      <c r="AA5" s="18" t="s">
        <v>0</v>
      </c>
      <c r="AB5" s="18" t="s">
        <v>8</v>
      </c>
      <c r="AC5" s="18" t="s">
        <v>8</v>
      </c>
      <c r="AD5" s="18" t="s">
        <v>8</v>
      </c>
      <c r="AE5" s="18" t="s">
        <v>8</v>
      </c>
      <c r="AF5" s="18" t="s">
        <v>8</v>
      </c>
      <c r="AG5" s="18" t="s">
        <v>8</v>
      </c>
      <c r="AH5" s="18" t="s">
        <v>0</v>
      </c>
      <c r="AI5" s="18" t="s">
        <v>8</v>
      </c>
      <c r="AJ5" s="2"/>
    </row>
    <row r="6" spans="1:36" s="8" customFormat="1" ht="22" customHeight="1" thickBot="1" x14ac:dyDescent="0.3">
      <c r="A6" s="6"/>
      <c r="B6" s="65" t="s">
        <v>18</v>
      </c>
      <c r="C6" s="66"/>
      <c r="D6" s="7" t="s">
        <v>17</v>
      </c>
      <c r="E6" s="67" t="s">
        <v>11</v>
      </c>
      <c r="F6" s="68"/>
      <c r="G6" s="13">
        <f>COUNTIF(E5:AI5,"H")</f>
        <v>21</v>
      </c>
      <c r="H6" s="67" t="s">
        <v>12</v>
      </c>
      <c r="I6" s="68"/>
      <c r="J6" s="13">
        <f>COUNTIF(E5:AI5,"T")</f>
        <v>5</v>
      </c>
      <c r="K6" s="67" t="s">
        <v>13</v>
      </c>
      <c r="L6" s="68"/>
      <c r="M6" s="13">
        <f>COUNTIF(E5:AI5,"A") + COUNTIF(E5:AI5,"I")</f>
        <v>5</v>
      </c>
      <c r="N6" s="67" t="s">
        <v>14</v>
      </c>
      <c r="O6" s="68"/>
      <c r="P6" s="13">
        <f>IF((G6+J6+M6)=0,0,(G6+J6)/(G6+J6+M6)*100)</f>
        <v>83.870967741935488</v>
      </c>
      <c r="Q6" s="67"/>
      <c r="R6" s="68"/>
      <c r="S6" s="13"/>
      <c r="T6" s="67"/>
      <c r="U6" s="68"/>
      <c r="V6" s="14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6"/>
    </row>
    <row r="7" spans="1:36" ht="22" customHeight="1" x14ac:dyDescent="0.25">
      <c r="A7" s="5"/>
      <c r="B7" s="72" t="s">
        <v>23</v>
      </c>
      <c r="C7" s="72"/>
      <c r="D7" s="72"/>
      <c r="E7" s="16" t="s">
        <v>8</v>
      </c>
      <c r="F7" s="16" t="s">
        <v>0</v>
      </c>
      <c r="G7" s="17" t="s">
        <v>8</v>
      </c>
      <c r="H7" s="17" t="s">
        <v>8</v>
      </c>
      <c r="I7" s="17" t="s">
        <v>8</v>
      </c>
      <c r="J7" s="17" t="s">
        <v>8</v>
      </c>
      <c r="K7" s="17" t="s">
        <v>8</v>
      </c>
      <c r="L7" s="19" t="s">
        <v>8</v>
      </c>
      <c r="M7" s="19" t="s">
        <v>9</v>
      </c>
      <c r="N7" s="18" t="s">
        <v>9</v>
      </c>
      <c r="O7" s="18" t="s">
        <v>8</v>
      </c>
      <c r="P7" s="18" t="s">
        <v>9</v>
      </c>
      <c r="Q7" s="18" t="s">
        <v>8</v>
      </c>
      <c r="R7" s="18" t="s">
        <v>8</v>
      </c>
      <c r="S7" s="18" t="s">
        <v>8</v>
      </c>
      <c r="T7" s="18" t="s">
        <v>8</v>
      </c>
      <c r="U7" s="18" t="s">
        <v>9</v>
      </c>
      <c r="V7" s="18" t="s">
        <v>8</v>
      </c>
      <c r="W7" s="18" t="s">
        <v>8</v>
      </c>
      <c r="X7" s="18" t="s">
        <v>8</v>
      </c>
      <c r="Y7" s="18" t="s">
        <v>9</v>
      </c>
      <c r="Z7" s="18" t="s">
        <v>0</v>
      </c>
      <c r="AA7" s="18" t="s">
        <v>0</v>
      </c>
      <c r="AB7" s="18" t="s">
        <v>8</v>
      </c>
      <c r="AC7" s="18" t="s">
        <v>8</v>
      </c>
      <c r="AD7" s="18" t="s">
        <v>8</v>
      </c>
      <c r="AE7" s="18" t="s">
        <v>8</v>
      </c>
      <c r="AF7" s="18" t="s">
        <v>8</v>
      </c>
      <c r="AG7" s="18" t="s">
        <v>8</v>
      </c>
      <c r="AH7" s="18" t="s">
        <v>0</v>
      </c>
      <c r="AI7" s="18" t="s">
        <v>8</v>
      </c>
      <c r="AJ7" s="5"/>
    </row>
    <row r="8" spans="1:36" s="8" customFormat="1" ht="22" customHeight="1" thickBot="1" x14ac:dyDescent="0.3">
      <c r="A8" s="6"/>
      <c r="B8" s="65" t="s">
        <v>18</v>
      </c>
      <c r="C8" s="66"/>
      <c r="D8" s="7" t="s">
        <v>17</v>
      </c>
      <c r="E8" s="67" t="s">
        <v>11</v>
      </c>
      <c r="F8" s="68"/>
      <c r="G8" s="13">
        <f>COUNTIF(E7:AI7,"H")</f>
        <v>22</v>
      </c>
      <c r="H8" s="67" t="s">
        <v>12</v>
      </c>
      <c r="I8" s="68"/>
      <c r="J8" s="13">
        <f>COUNTIF(E7:AI7,"T")</f>
        <v>5</v>
      </c>
      <c r="K8" s="67" t="s">
        <v>13</v>
      </c>
      <c r="L8" s="68"/>
      <c r="M8" s="13">
        <f>COUNTIF(E7:AI7,"A") + COUNTIF(E7:AI7,"I")</f>
        <v>4</v>
      </c>
      <c r="N8" s="67" t="s">
        <v>14</v>
      </c>
      <c r="O8" s="68"/>
      <c r="P8" s="13">
        <f>IF((G8+J8+M8)=0,0,(G8+J8)/(G8+J8+M8)*100)</f>
        <v>87.096774193548384</v>
      </c>
      <c r="Q8" s="67"/>
      <c r="R8" s="68"/>
      <c r="S8" s="13"/>
      <c r="T8" s="67"/>
      <c r="U8" s="68"/>
      <c r="V8" s="14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6"/>
    </row>
    <row r="9" spans="1:36" ht="22" customHeight="1" x14ac:dyDescent="0.35">
      <c r="A9" s="2"/>
      <c r="B9" s="72" t="s">
        <v>24</v>
      </c>
      <c r="C9" s="72"/>
      <c r="D9" s="72"/>
      <c r="E9" s="16" t="s">
        <v>8</v>
      </c>
      <c r="F9" s="16" t="s">
        <v>8</v>
      </c>
      <c r="G9" s="17" t="s">
        <v>8</v>
      </c>
      <c r="H9" s="17" t="s">
        <v>8</v>
      </c>
      <c r="I9" s="17" t="s">
        <v>0</v>
      </c>
      <c r="J9" s="17" t="s">
        <v>8</v>
      </c>
      <c r="K9" s="17" t="s">
        <v>9</v>
      </c>
      <c r="L9" s="19" t="s">
        <v>8</v>
      </c>
      <c r="M9" s="19" t="s">
        <v>9</v>
      </c>
      <c r="N9" s="18" t="s">
        <v>8</v>
      </c>
      <c r="O9" s="18" t="s">
        <v>8</v>
      </c>
      <c r="P9" s="18" t="s">
        <v>9</v>
      </c>
      <c r="Q9" s="18" t="s">
        <v>8</v>
      </c>
      <c r="R9" s="18" t="s">
        <v>8</v>
      </c>
      <c r="S9" s="18" t="s">
        <v>9</v>
      </c>
      <c r="T9" s="18" t="s">
        <v>9</v>
      </c>
      <c r="U9" s="18" t="s">
        <v>9</v>
      </c>
      <c r="V9" s="18" t="s">
        <v>0</v>
      </c>
      <c r="W9" s="18" t="s">
        <v>8</v>
      </c>
      <c r="X9" s="18" t="s">
        <v>8</v>
      </c>
      <c r="Y9" s="18" t="s">
        <v>9</v>
      </c>
      <c r="Z9" s="18" t="s">
        <v>0</v>
      </c>
      <c r="AA9" s="18" t="s">
        <v>0</v>
      </c>
      <c r="AB9" s="18" t="s">
        <v>8</v>
      </c>
      <c r="AC9" s="18" t="s">
        <v>8</v>
      </c>
      <c r="AD9" s="18" t="s">
        <v>8</v>
      </c>
      <c r="AE9" s="18" t="s">
        <v>8</v>
      </c>
      <c r="AF9" s="18" t="s">
        <v>8</v>
      </c>
      <c r="AG9" s="18" t="s">
        <v>8</v>
      </c>
      <c r="AH9" s="18" t="s">
        <v>0</v>
      </c>
      <c r="AI9" s="18" t="s">
        <v>8</v>
      </c>
      <c r="AJ9" s="2"/>
    </row>
    <row r="10" spans="1:36" s="8" customFormat="1" ht="22" customHeight="1" thickBot="1" x14ac:dyDescent="0.3">
      <c r="A10" s="6"/>
      <c r="B10" s="65" t="s">
        <v>18</v>
      </c>
      <c r="C10" s="66"/>
      <c r="D10" s="7" t="s">
        <v>17</v>
      </c>
      <c r="E10" s="67" t="s">
        <v>11</v>
      </c>
      <c r="F10" s="68"/>
      <c r="G10" s="13">
        <f>COUNTIF(E9:AI9,"H")</f>
        <v>19</v>
      </c>
      <c r="H10" s="67" t="s">
        <v>12</v>
      </c>
      <c r="I10" s="68"/>
      <c r="J10" s="13">
        <f>COUNTIF(E9:AI9,"T")</f>
        <v>7</v>
      </c>
      <c r="K10" s="67" t="s">
        <v>13</v>
      </c>
      <c r="L10" s="68"/>
      <c r="M10" s="13">
        <f>COUNTIF(E9:AI9,"A") + COUNTIF(E9:AI9,"I")</f>
        <v>5</v>
      </c>
      <c r="N10" s="67" t="s">
        <v>14</v>
      </c>
      <c r="O10" s="68"/>
      <c r="P10" s="13">
        <f>IF((G10+J10+M10)=0,0,(G10+J10)/(G10+J10+M10)*100)</f>
        <v>83.870967741935488</v>
      </c>
      <c r="Q10" s="67"/>
      <c r="R10" s="68"/>
      <c r="S10" s="13"/>
      <c r="T10" s="67"/>
      <c r="U10" s="68"/>
      <c r="V10" s="14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6"/>
    </row>
    <row r="11" spans="1:36" s="10" customFormat="1" ht="22" customHeight="1" x14ac:dyDescent="0.25">
      <c r="A11" s="9"/>
      <c r="B11" s="72" t="s">
        <v>25</v>
      </c>
      <c r="C11" s="72"/>
      <c r="D11" s="72"/>
      <c r="E11" s="16" t="s">
        <v>8</v>
      </c>
      <c r="F11" s="16" t="s">
        <v>0</v>
      </c>
      <c r="G11" s="17" t="s">
        <v>8</v>
      </c>
      <c r="H11" s="17" t="s">
        <v>8</v>
      </c>
      <c r="I11" s="17" t="s">
        <v>8</v>
      </c>
      <c r="J11" s="17" t="s">
        <v>8</v>
      </c>
      <c r="K11" s="17" t="s">
        <v>8</v>
      </c>
      <c r="L11" s="19" t="s">
        <v>8</v>
      </c>
      <c r="M11" s="19" t="s">
        <v>8</v>
      </c>
      <c r="N11" s="18" t="s">
        <v>8</v>
      </c>
      <c r="O11" s="18" t="s">
        <v>8</v>
      </c>
      <c r="P11" s="18" t="s">
        <v>8</v>
      </c>
      <c r="Q11" s="18" t="s">
        <v>8</v>
      </c>
      <c r="R11" s="18" t="s">
        <v>8</v>
      </c>
      <c r="S11" s="18" t="s">
        <v>8</v>
      </c>
      <c r="T11" s="18" t="s">
        <v>8</v>
      </c>
      <c r="U11" s="18" t="s">
        <v>9</v>
      </c>
      <c r="V11" s="18" t="s">
        <v>8</v>
      </c>
      <c r="W11" s="18" t="s">
        <v>8</v>
      </c>
      <c r="X11" s="18" t="s">
        <v>8</v>
      </c>
      <c r="Y11" s="18" t="s">
        <v>8</v>
      </c>
      <c r="Z11" s="18" t="s">
        <v>8</v>
      </c>
      <c r="AA11" s="18" t="s">
        <v>8</v>
      </c>
      <c r="AB11" s="18" t="s">
        <v>8</v>
      </c>
      <c r="AC11" s="18" t="s">
        <v>8</v>
      </c>
      <c r="AD11" s="18" t="s">
        <v>8</v>
      </c>
      <c r="AE11" s="18" t="s">
        <v>8</v>
      </c>
      <c r="AF11" s="18" t="s">
        <v>8</v>
      </c>
      <c r="AG11" s="18" t="s">
        <v>8</v>
      </c>
      <c r="AH11" s="18" t="s">
        <v>0</v>
      </c>
      <c r="AI11" s="18" t="s">
        <v>8</v>
      </c>
      <c r="AJ11" s="9"/>
    </row>
    <row r="12" spans="1:36" s="8" customFormat="1" ht="22" customHeight="1" thickBot="1" x14ac:dyDescent="0.3">
      <c r="A12" s="6"/>
      <c r="B12" s="65" t="s">
        <v>18</v>
      </c>
      <c r="C12" s="66"/>
      <c r="D12" s="7" t="s">
        <v>17</v>
      </c>
      <c r="E12" s="67" t="s">
        <v>11</v>
      </c>
      <c r="F12" s="68"/>
      <c r="G12" s="13">
        <f>COUNTIF(E11:AI11,"H")</f>
        <v>28</v>
      </c>
      <c r="H12" s="67" t="s">
        <v>12</v>
      </c>
      <c r="I12" s="68"/>
      <c r="J12" s="13">
        <f>COUNTIF(E11:AI11,"T")</f>
        <v>1</v>
      </c>
      <c r="K12" s="67" t="s">
        <v>13</v>
      </c>
      <c r="L12" s="68"/>
      <c r="M12" s="13">
        <f>COUNTIF(E11:AI11,"A") + COUNTIF(E11:AI11,"I")</f>
        <v>2</v>
      </c>
      <c r="N12" s="67" t="s">
        <v>14</v>
      </c>
      <c r="O12" s="68"/>
      <c r="P12" s="13">
        <f>IF((G12+J12+M12)=0,0,(G12+J12)/(G12+J12+M12)*100)</f>
        <v>93.548387096774192</v>
      </c>
      <c r="Q12" s="67"/>
      <c r="R12" s="68"/>
      <c r="S12" s="13"/>
      <c r="T12" s="67"/>
      <c r="U12" s="68"/>
      <c r="V12" s="14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6"/>
    </row>
    <row r="13" spans="1:36" s="10" customFormat="1" ht="22" customHeight="1" x14ac:dyDescent="0.25">
      <c r="A13" s="9"/>
      <c r="B13" s="72" t="s">
        <v>26</v>
      </c>
      <c r="C13" s="72"/>
      <c r="D13" s="72"/>
      <c r="E13" s="16" t="s">
        <v>8</v>
      </c>
      <c r="F13" s="16" t="s">
        <v>8</v>
      </c>
      <c r="G13" s="17" t="s">
        <v>8</v>
      </c>
      <c r="H13" s="17" t="s">
        <v>8</v>
      </c>
      <c r="I13" s="17" t="s">
        <v>8</v>
      </c>
      <c r="J13" s="17" t="s">
        <v>0</v>
      </c>
      <c r="K13" s="17" t="s">
        <v>8</v>
      </c>
      <c r="L13" s="19" t="s">
        <v>8</v>
      </c>
      <c r="M13" s="19" t="s">
        <v>8</v>
      </c>
      <c r="N13" s="18" t="s">
        <v>8</v>
      </c>
      <c r="O13" s="18" t="s">
        <v>8</v>
      </c>
      <c r="P13" s="18" t="s">
        <v>9</v>
      </c>
      <c r="Q13" s="18" t="s">
        <v>8</v>
      </c>
      <c r="R13" s="18" t="s">
        <v>8</v>
      </c>
      <c r="S13" s="18" t="s">
        <v>8</v>
      </c>
      <c r="T13" s="18" t="s">
        <v>0</v>
      </c>
      <c r="U13" s="18" t="s">
        <v>9</v>
      </c>
      <c r="V13" s="18" t="s">
        <v>8</v>
      </c>
      <c r="W13" s="18" t="s">
        <v>8</v>
      </c>
      <c r="X13" s="18" t="s">
        <v>0</v>
      </c>
      <c r="Y13" s="18" t="s">
        <v>9</v>
      </c>
      <c r="Z13" s="18" t="s">
        <v>8</v>
      </c>
      <c r="AA13" s="18" t="s">
        <v>8</v>
      </c>
      <c r="AB13" s="18" t="s">
        <v>8</v>
      </c>
      <c r="AC13" s="18" t="s">
        <v>8</v>
      </c>
      <c r="AD13" s="18" t="s">
        <v>8</v>
      </c>
      <c r="AE13" s="18" t="s">
        <v>8</v>
      </c>
      <c r="AF13" s="18" t="s">
        <v>8</v>
      </c>
      <c r="AG13" s="18" t="s">
        <v>8</v>
      </c>
      <c r="AH13" s="18" t="s">
        <v>0</v>
      </c>
      <c r="AI13" s="18" t="s">
        <v>8</v>
      </c>
      <c r="AJ13" s="9"/>
    </row>
    <row r="14" spans="1:36" s="8" customFormat="1" ht="22" customHeight="1" thickBot="1" x14ac:dyDescent="0.3">
      <c r="A14" s="6"/>
      <c r="B14" s="65" t="s">
        <v>18</v>
      </c>
      <c r="C14" s="66"/>
      <c r="D14" s="7" t="s">
        <v>17</v>
      </c>
      <c r="E14" s="67" t="s">
        <v>11</v>
      </c>
      <c r="F14" s="68"/>
      <c r="G14" s="13">
        <f>COUNTIF(E13:AI13,"H")</f>
        <v>24</v>
      </c>
      <c r="H14" s="67" t="s">
        <v>12</v>
      </c>
      <c r="I14" s="68"/>
      <c r="J14" s="13">
        <f>COUNTIF(E13:AI13,"T")</f>
        <v>3</v>
      </c>
      <c r="K14" s="67" t="s">
        <v>13</v>
      </c>
      <c r="L14" s="68"/>
      <c r="M14" s="13">
        <f>COUNTIF(E13:AI13,"A") + COUNTIF(E13:AI13,"I")</f>
        <v>4</v>
      </c>
      <c r="N14" s="67" t="s">
        <v>14</v>
      </c>
      <c r="O14" s="68"/>
      <c r="P14" s="13">
        <f>IF((G14+J14+M14)=0,0,(G14+J14)/(G14+J14+M14)*100)</f>
        <v>87.096774193548384</v>
      </c>
      <c r="Q14" s="67"/>
      <c r="R14" s="68"/>
      <c r="S14" s="13"/>
      <c r="T14" s="67"/>
      <c r="U14" s="68"/>
      <c r="V14" s="14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6"/>
    </row>
    <row r="15" spans="1:36" s="10" customFormat="1" ht="22" customHeight="1" x14ac:dyDescent="0.25">
      <c r="A15" s="9"/>
      <c r="B15" s="72" t="s">
        <v>27</v>
      </c>
      <c r="C15" s="72"/>
      <c r="D15" s="72"/>
      <c r="E15" s="16" t="s">
        <v>8</v>
      </c>
      <c r="F15" s="16" t="s">
        <v>0</v>
      </c>
      <c r="G15" s="17" t="s">
        <v>8</v>
      </c>
      <c r="H15" s="17" t="s">
        <v>8</v>
      </c>
      <c r="I15" s="17" t="s">
        <v>8</v>
      </c>
      <c r="J15" s="17" t="s">
        <v>8</v>
      </c>
      <c r="K15" s="17" t="s">
        <v>8</v>
      </c>
      <c r="L15" s="19" t="s">
        <v>8</v>
      </c>
      <c r="M15" s="19" t="s">
        <v>9</v>
      </c>
      <c r="N15" s="18" t="s">
        <v>9</v>
      </c>
      <c r="O15" s="18" t="s">
        <v>8</v>
      </c>
      <c r="P15" s="18" t="s">
        <v>9</v>
      </c>
      <c r="Q15" s="18" t="s">
        <v>8</v>
      </c>
      <c r="R15" s="18" t="s">
        <v>8</v>
      </c>
      <c r="S15" s="18" t="s">
        <v>8</v>
      </c>
      <c r="T15" s="18" t="s">
        <v>8</v>
      </c>
      <c r="U15" s="18" t="s">
        <v>9</v>
      </c>
      <c r="V15" s="18" t="s">
        <v>8</v>
      </c>
      <c r="W15" s="18" t="s">
        <v>8</v>
      </c>
      <c r="X15" s="18" t="s">
        <v>8</v>
      </c>
      <c r="Y15" s="18" t="s">
        <v>9</v>
      </c>
      <c r="Z15" s="18" t="s">
        <v>0</v>
      </c>
      <c r="AA15" s="18" t="s">
        <v>0</v>
      </c>
      <c r="AB15" s="18" t="s">
        <v>8</v>
      </c>
      <c r="AC15" s="18" t="s">
        <v>8</v>
      </c>
      <c r="AD15" s="18" t="s">
        <v>8</v>
      </c>
      <c r="AE15" s="18" t="s">
        <v>8</v>
      </c>
      <c r="AF15" s="18" t="s">
        <v>8</v>
      </c>
      <c r="AG15" s="18" t="s">
        <v>8</v>
      </c>
      <c r="AH15" s="18" t="s">
        <v>0</v>
      </c>
      <c r="AI15" s="18" t="s">
        <v>8</v>
      </c>
      <c r="AJ15" s="9"/>
    </row>
    <row r="16" spans="1:36" s="8" customFormat="1" ht="22" customHeight="1" thickBot="1" x14ac:dyDescent="0.3">
      <c r="A16" s="6"/>
      <c r="B16" s="65" t="s">
        <v>18</v>
      </c>
      <c r="C16" s="66"/>
      <c r="D16" s="7" t="s">
        <v>17</v>
      </c>
      <c r="E16" s="67" t="s">
        <v>11</v>
      </c>
      <c r="F16" s="68"/>
      <c r="G16" s="13">
        <f>COUNTIF(E15:AI15,"H")</f>
        <v>22</v>
      </c>
      <c r="H16" s="67" t="s">
        <v>12</v>
      </c>
      <c r="I16" s="68"/>
      <c r="J16" s="13">
        <f>COUNTIF(E15:AI15,"T")</f>
        <v>5</v>
      </c>
      <c r="K16" s="67" t="s">
        <v>13</v>
      </c>
      <c r="L16" s="68"/>
      <c r="M16" s="13">
        <f>COUNTIF(E15:AI15,"A") + COUNTIF(E15:AI15,"I")</f>
        <v>4</v>
      </c>
      <c r="N16" s="67" t="s">
        <v>14</v>
      </c>
      <c r="O16" s="68"/>
      <c r="P16" s="13">
        <f>IF((G16+J16+M16)=0,0,(G16+J16)/(G16+J16+M16)*100)</f>
        <v>87.096774193548384</v>
      </c>
      <c r="Q16" s="67"/>
      <c r="R16" s="68"/>
      <c r="S16" s="13"/>
      <c r="T16" s="67"/>
      <c r="U16" s="68"/>
      <c r="V16" s="14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6"/>
    </row>
    <row r="17" spans="1:36" s="10" customFormat="1" ht="22" customHeight="1" x14ac:dyDescent="0.25">
      <c r="A17" s="9"/>
      <c r="B17" s="72" t="s">
        <v>28</v>
      </c>
      <c r="C17" s="72"/>
      <c r="D17" s="72"/>
      <c r="E17" s="16" t="s">
        <v>8</v>
      </c>
      <c r="F17" s="16" t="s">
        <v>0</v>
      </c>
      <c r="G17" s="17" t="s">
        <v>8</v>
      </c>
      <c r="H17" s="17" t="s">
        <v>8</v>
      </c>
      <c r="I17" s="17" t="s">
        <v>8</v>
      </c>
      <c r="J17" s="17" t="s">
        <v>8</v>
      </c>
      <c r="K17" s="17" t="s">
        <v>8</v>
      </c>
      <c r="L17" s="19" t="s">
        <v>8</v>
      </c>
      <c r="M17" s="19" t="s">
        <v>9</v>
      </c>
      <c r="N17" s="18" t="s">
        <v>9</v>
      </c>
      <c r="O17" s="18" t="s">
        <v>8</v>
      </c>
      <c r="P17" s="18" t="s">
        <v>9</v>
      </c>
      <c r="Q17" s="18" t="s">
        <v>8</v>
      </c>
      <c r="R17" s="18" t="s">
        <v>8</v>
      </c>
      <c r="S17" s="18" t="s">
        <v>8</v>
      </c>
      <c r="T17" s="18" t="s">
        <v>8</v>
      </c>
      <c r="U17" s="18" t="s">
        <v>9</v>
      </c>
      <c r="V17" s="18" t="s">
        <v>8</v>
      </c>
      <c r="W17" s="18" t="s">
        <v>8</v>
      </c>
      <c r="X17" s="18" t="s">
        <v>8</v>
      </c>
      <c r="Y17" s="18" t="s">
        <v>9</v>
      </c>
      <c r="Z17" s="18" t="s">
        <v>0</v>
      </c>
      <c r="AA17" s="18" t="s">
        <v>0</v>
      </c>
      <c r="AB17" s="18" t="s">
        <v>8</v>
      </c>
      <c r="AC17" s="18" t="s">
        <v>8</v>
      </c>
      <c r="AD17" s="18" t="s">
        <v>8</v>
      </c>
      <c r="AE17" s="18" t="s">
        <v>8</v>
      </c>
      <c r="AF17" s="18" t="s">
        <v>8</v>
      </c>
      <c r="AG17" s="18" t="s">
        <v>8</v>
      </c>
      <c r="AH17" s="18" t="s">
        <v>0</v>
      </c>
      <c r="AI17" s="18" t="s">
        <v>8</v>
      </c>
      <c r="AJ17" s="9"/>
    </row>
    <row r="18" spans="1:36" s="8" customFormat="1" ht="22" customHeight="1" thickBot="1" x14ac:dyDescent="0.3">
      <c r="A18" s="6"/>
      <c r="B18" s="65" t="s">
        <v>18</v>
      </c>
      <c r="C18" s="66"/>
      <c r="D18" s="7" t="s">
        <v>17</v>
      </c>
      <c r="E18" s="67" t="s">
        <v>11</v>
      </c>
      <c r="F18" s="68"/>
      <c r="G18" s="13">
        <f>COUNTIF(E17:AI17,"H")</f>
        <v>22</v>
      </c>
      <c r="H18" s="67" t="s">
        <v>12</v>
      </c>
      <c r="I18" s="68"/>
      <c r="J18" s="13">
        <f>COUNTIF(E17:AI17,"T")</f>
        <v>5</v>
      </c>
      <c r="K18" s="67" t="s">
        <v>13</v>
      </c>
      <c r="L18" s="68"/>
      <c r="M18" s="13">
        <f>COUNTIF(E17:AI17,"A") + COUNTIF(E17:AI17,"I")</f>
        <v>4</v>
      </c>
      <c r="N18" s="67" t="s">
        <v>14</v>
      </c>
      <c r="O18" s="68"/>
      <c r="P18" s="13">
        <f>IF((G18+J18+M18)=0,0,(G18+J18)/(G18+J18+M18)*100)</f>
        <v>87.096774193548384</v>
      </c>
      <c r="Q18" s="67"/>
      <c r="R18" s="68"/>
      <c r="S18" s="13"/>
      <c r="T18" s="67"/>
      <c r="U18" s="68"/>
      <c r="V18" s="14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6"/>
    </row>
    <row r="19" spans="1:36" s="10" customFormat="1" ht="22" customHeight="1" x14ac:dyDescent="0.25">
      <c r="A19" s="9"/>
      <c r="B19" s="72" t="s">
        <v>29</v>
      </c>
      <c r="C19" s="72"/>
      <c r="D19" s="72"/>
      <c r="E19" s="16" t="s">
        <v>8</v>
      </c>
      <c r="F19" s="16" t="s">
        <v>0</v>
      </c>
      <c r="G19" s="17" t="s">
        <v>8</v>
      </c>
      <c r="H19" s="17" t="s">
        <v>8</v>
      </c>
      <c r="I19" s="17" t="s">
        <v>8</v>
      </c>
      <c r="J19" s="17" t="s">
        <v>8</v>
      </c>
      <c r="K19" s="17" t="s">
        <v>8</v>
      </c>
      <c r="L19" s="19" t="s">
        <v>8</v>
      </c>
      <c r="M19" s="19" t="s">
        <v>9</v>
      </c>
      <c r="N19" s="18" t="s">
        <v>9</v>
      </c>
      <c r="O19" s="18" t="s">
        <v>8</v>
      </c>
      <c r="P19" s="18" t="s">
        <v>9</v>
      </c>
      <c r="Q19" s="18" t="s">
        <v>8</v>
      </c>
      <c r="R19" s="18" t="s">
        <v>8</v>
      </c>
      <c r="S19" s="18" t="s">
        <v>8</v>
      </c>
      <c r="T19" s="18" t="s">
        <v>8</v>
      </c>
      <c r="U19" s="18" t="s">
        <v>9</v>
      </c>
      <c r="V19" s="18" t="s">
        <v>8</v>
      </c>
      <c r="W19" s="18" t="s">
        <v>8</v>
      </c>
      <c r="X19" s="18" t="s">
        <v>8</v>
      </c>
      <c r="Y19" s="18" t="s">
        <v>9</v>
      </c>
      <c r="Z19" s="18" t="s">
        <v>0</v>
      </c>
      <c r="AA19" s="18" t="s">
        <v>0</v>
      </c>
      <c r="AB19" s="18" t="s">
        <v>8</v>
      </c>
      <c r="AC19" s="18" t="s">
        <v>8</v>
      </c>
      <c r="AD19" s="18" t="s">
        <v>8</v>
      </c>
      <c r="AE19" s="18" t="s">
        <v>8</v>
      </c>
      <c r="AF19" s="18" t="s">
        <v>8</v>
      </c>
      <c r="AG19" s="18" t="s">
        <v>8</v>
      </c>
      <c r="AH19" s="18" t="s">
        <v>0</v>
      </c>
      <c r="AI19" s="18" t="s">
        <v>8</v>
      </c>
      <c r="AJ19" s="9"/>
    </row>
    <row r="20" spans="1:36" s="8" customFormat="1" ht="22" customHeight="1" thickBot="1" x14ac:dyDescent="0.3">
      <c r="A20" s="6"/>
      <c r="B20" s="65" t="s">
        <v>18</v>
      </c>
      <c r="C20" s="66"/>
      <c r="D20" s="7" t="s">
        <v>17</v>
      </c>
      <c r="E20" s="67" t="s">
        <v>11</v>
      </c>
      <c r="F20" s="68"/>
      <c r="G20" s="13">
        <f>COUNTIF(E19:AI19,"H")</f>
        <v>22</v>
      </c>
      <c r="H20" s="67" t="s">
        <v>12</v>
      </c>
      <c r="I20" s="68"/>
      <c r="J20" s="13">
        <f>COUNTIF(E19:AI19,"T")</f>
        <v>5</v>
      </c>
      <c r="K20" s="67" t="s">
        <v>13</v>
      </c>
      <c r="L20" s="68"/>
      <c r="M20" s="13">
        <f>COUNTIF(E19:AI19,"A") + COUNTIF(E19:AI19,"I")</f>
        <v>4</v>
      </c>
      <c r="N20" s="67" t="s">
        <v>14</v>
      </c>
      <c r="O20" s="68"/>
      <c r="P20" s="13">
        <f>IF((G20+J20+M20)=0,0,(G20+J20)/(G20+J20+M20)*100)</f>
        <v>87.096774193548384</v>
      </c>
      <c r="Q20" s="67"/>
      <c r="R20" s="68"/>
      <c r="S20" s="13"/>
      <c r="T20" s="67"/>
      <c r="U20" s="68"/>
      <c r="V20" s="14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6"/>
    </row>
    <row r="21" spans="1:36" ht="22" customHeight="1" x14ac:dyDescent="0.35">
      <c r="A21" s="2"/>
      <c r="B21" s="72" t="s">
        <v>30</v>
      </c>
      <c r="C21" s="72"/>
      <c r="D21" s="72"/>
      <c r="E21" s="16" t="s">
        <v>8</v>
      </c>
      <c r="F21" s="16" t="s">
        <v>0</v>
      </c>
      <c r="G21" s="17" t="s">
        <v>8</v>
      </c>
      <c r="H21" s="17" t="s">
        <v>8</v>
      </c>
      <c r="I21" s="17" t="s">
        <v>8</v>
      </c>
      <c r="J21" s="17" t="s">
        <v>8</v>
      </c>
      <c r="K21" s="17" t="s">
        <v>8</v>
      </c>
      <c r="L21" s="19" t="s">
        <v>8</v>
      </c>
      <c r="M21" s="19" t="s">
        <v>9</v>
      </c>
      <c r="N21" s="18" t="s">
        <v>9</v>
      </c>
      <c r="O21" s="18" t="s">
        <v>8</v>
      </c>
      <c r="P21" s="18" t="s">
        <v>9</v>
      </c>
      <c r="Q21" s="18" t="s">
        <v>8</v>
      </c>
      <c r="R21" s="18" t="s">
        <v>8</v>
      </c>
      <c r="S21" s="18" t="s">
        <v>8</v>
      </c>
      <c r="T21" s="18" t="s">
        <v>8</v>
      </c>
      <c r="U21" s="18" t="s">
        <v>9</v>
      </c>
      <c r="V21" s="18" t="s">
        <v>8</v>
      </c>
      <c r="W21" s="18" t="s">
        <v>8</v>
      </c>
      <c r="X21" s="18" t="s">
        <v>8</v>
      </c>
      <c r="Y21" s="18" t="s">
        <v>9</v>
      </c>
      <c r="Z21" s="18" t="s">
        <v>0</v>
      </c>
      <c r="AA21" s="18" t="s">
        <v>0</v>
      </c>
      <c r="AB21" s="18" t="s">
        <v>8</v>
      </c>
      <c r="AC21" s="18" t="s">
        <v>8</v>
      </c>
      <c r="AD21" s="18" t="s">
        <v>8</v>
      </c>
      <c r="AE21" s="18" t="s">
        <v>8</v>
      </c>
      <c r="AF21" s="18" t="s">
        <v>8</v>
      </c>
      <c r="AG21" s="18" t="s">
        <v>8</v>
      </c>
      <c r="AH21" s="18" t="s">
        <v>0</v>
      </c>
      <c r="AI21" s="18" t="s">
        <v>8</v>
      </c>
      <c r="AJ21" s="2"/>
    </row>
    <row r="22" spans="1:36" s="8" customFormat="1" ht="22" customHeight="1" thickBot="1" x14ac:dyDescent="0.3">
      <c r="A22" s="6"/>
      <c r="B22" s="65" t="s">
        <v>18</v>
      </c>
      <c r="C22" s="66"/>
      <c r="D22" s="7" t="s">
        <v>17</v>
      </c>
      <c r="E22" s="67" t="s">
        <v>11</v>
      </c>
      <c r="F22" s="68"/>
      <c r="G22" s="13">
        <f>COUNTIF(E21:AI21,"H")</f>
        <v>22</v>
      </c>
      <c r="H22" s="67" t="s">
        <v>12</v>
      </c>
      <c r="I22" s="68"/>
      <c r="J22" s="13">
        <f>COUNTIF(E21:AI21,"T")</f>
        <v>5</v>
      </c>
      <c r="K22" s="67" t="s">
        <v>13</v>
      </c>
      <c r="L22" s="68"/>
      <c r="M22" s="13">
        <f>COUNTIF(E21:AI21,"A") + COUNTIF(E21:AI21,"I")</f>
        <v>4</v>
      </c>
      <c r="N22" s="67" t="s">
        <v>14</v>
      </c>
      <c r="O22" s="68"/>
      <c r="P22" s="13">
        <f>IF((G22+J22+M22)=0,0,(G22+J22)/(G22+J22+M22)*100)</f>
        <v>87.096774193548384</v>
      </c>
      <c r="Q22" s="67"/>
      <c r="R22" s="68"/>
      <c r="S22" s="13"/>
      <c r="T22" s="67"/>
      <c r="U22" s="68"/>
      <c r="V22" s="14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6"/>
    </row>
    <row r="23" spans="1:36" ht="22" customHeight="1" x14ac:dyDescent="0.35">
      <c r="A23" s="2"/>
      <c r="B23" s="72" t="s">
        <v>31</v>
      </c>
      <c r="C23" s="72"/>
      <c r="D23" s="72"/>
      <c r="E23" s="16" t="s">
        <v>8</v>
      </c>
      <c r="F23" s="16" t="s">
        <v>0</v>
      </c>
      <c r="G23" s="17" t="s">
        <v>8</v>
      </c>
      <c r="H23" s="17" t="s">
        <v>8</v>
      </c>
      <c r="I23" s="17" t="s">
        <v>8</v>
      </c>
      <c r="J23" s="17" t="s">
        <v>8</v>
      </c>
      <c r="K23" s="17" t="s">
        <v>8</v>
      </c>
      <c r="L23" s="19" t="s">
        <v>8</v>
      </c>
      <c r="M23" s="19" t="s">
        <v>9</v>
      </c>
      <c r="N23" s="18" t="s">
        <v>9</v>
      </c>
      <c r="O23" s="18" t="s">
        <v>8</v>
      </c>
      <c r="P23" s="18" t="s">
        <v>9</v>
      </c>
      <c r="Q23" s="18" t="s">
        <v>8</v>
      </c>
      <c r="R23" s="18" t="s">
        <v>8</v>
      </c>
      <c r="S23" s="18" t="s">
        <v>8</v>
      </c>
      <c r="T23" s="18" t="s">
        <v>8</v>
      </c>
      <c r="U23" s="18" t="s">
        <v>9</v>
      </c>
      <c r="V23" s="18" t="s">
        <v>8</v>
      </c>
      <c r="W23" s="18" t="s">
        <v>8</v>
      </c>
      <c r="X23" s="18" t="s">
        <v>8</v>
      </c>
      <c r="Y23" s="18" t="s">
        <v>9</v>
      </c>
      <c r="Z23" s="18" t="s">
        <v>0</v>
      </c>
      <c r="AA23" s="18" t="s">
        <v>0</v>
      </c>
      <c r="AB23" s="18" t="s">
        <v>8</v>
      </c>
      <c r="AC23" s="18" t="s">
        <v>8</v>
      </c>
      <c r="AD23" s="18" t="s">
        <v>8</v>
      </c>
      <c r="AE23" s="18" t="s">
        <v>8</v>
      </c>
      <c r="AF23" s="18" t="s">
        <v>8</v>
      </c>
      <c r="AG23" s="18" t="s">
        <v>8</v>
      </c>
      <c r="AH23" s="18" t="s">
        <v>0</v>
      </c>
      <c r="AI23" s="18" t="s">
        <v>8</v>
      </c>
      <c r="AJ23" s="2"/>
    </row>
    <row r="24" spans="1:36" s="8" customFormat="1" ht="22" customHeight="1" thickBot="1" x14ac:dyDescent="0.3">
      <c r="A24" s="6"/>
      <c r="B24" s="65" t="s">
        <v>18</v>
      </c>
      <c r="C24" s="66"/>
      <c r="D24" s="7" t="s">
        <v>17</v>
      </c>
      <c r="E24" s="67" t="s">
        <v>11</v>
      </c>
      <c r="F24" s="68"/>
      <c r="G24" s="13">
        <f>COUNTIF(E23:AI23,"H")</f>
        <v>22</v>
      </c>
      <c r="H24" s="67" t="s">
        <v>12</v>
      </c>
      <c r="I24" s="68"/>
      <c r="J24" s="13">
        <f>COUNTIF(E23:AI23,"T")</f>
        <v>5</v>
      </c>
      <c r="K24" s="67" t="s">
        <v>13</v>
      </c>
      <c r="L24" s="68"/>
      <c r="M24" s="13">
        <f>COUNTIF(E23:AI23,"A") + COUNTIF(E23:AI23,"I")</f>
        <v>4</v>
      </c>
      <c r="N24" s="67" t="s">
        <v>14</v>
      </c>
      <c r="O24" s="68"/>
      <c r="P24" s="13">
        <f>IF((G24+J24+M24)=0,0,(G24+J24)/(G24+J24+M24)*100)</f>
        <v>87.096774193548384</v>
      </c>
      <c r="Q24" s="67"/>
      <c r="R24" s="68"/>
      <c r="S24" s="13"/>
      <c r="T24" s="67"/>
      <c r="U24" s="68"/>
      <c r="V24" s="14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6"/>
    </row>
    <row r="25" spans="1:36" s="10" customFormat="1" ht="22" customHeight="1" x14ac:dyDescent="0.25">
      <c r="A25" s="9"/>
      <c r="B25" s="72" t="s">
        <v>32</v>
      </c>
      <c r="C25" s="72"/>
      <c r="D25" s="72"/>
      <c r="E25" s="16" t="s">
        <v>8</v>
      </c>
      <c r="F25" s="16" t="s">
        <v>0</v>
      </c>
      <c r="G25" s="17" t="s">
        <v>8</v>
      </c>
      <c r="H25" s="17" t="s">
        <v>8</v>
      </c>
      <c r="I25" s="17" t="s">
        <v>8</v>
      </c>
      <c r="J25" s="17" t="s">
        <v>8</v>
      </c>
      <c r="K25" s="17" t="s">
        <v>8</v>
      </c>
      <c r="L25" s="19" t="s">
        <v>8</v>
      </c>
      <c r="M25" s="19" t="s">
        <v>9</v>
      </c>
      <c r="N25" s="18" t="s">
        <v>9</v>
      </c>
      <c r="O25" s="18" t="s">
        <v>8</v>
      </c>
      <c r="P25" s="18" t="s">
        <v>9</v>
      </c>
      <c r="Q25" s="18" t="s">
        <v>8</v>
      </c>
      <c r="R25" s="18" t="s">
        <v>8</v>
      </c>
      <c r="S25" s="18" t="s">
        <v>8</v>
      </c>
      <c r="T25" s="18" t="s">
        <v>8</v>
      </c>
      <c r="U25" s="18" t="s">
        <v>9</v>
      </c>
      <c r="V25" s="18" t="s">
        <v>8</v>
      </c>
      <c r="W25" s="18" t="s">
        <v>8</v>
      </c>
      <c r="X25" s="18" t="s">
        <v>8</v>
      </c>
      <c r="Y25" s="18" t="s">
        <v>9</v>
      </c>
      <c r="Z25" s="18" t="s">
        <v>0</v>
      </c>
      <c r="AA25" s="18" t="s">
        <v>0</v>
      </c>
      <c r="AB25" s="18" t="s">
        <v>8</v>
      </c>
      <c r="AC25" s="18" t="s">
        <v>8</v>
      </c>
      <c r="AD25" s="18" t="s">
        <v>8</v>
      </c>
      <c r="AE25" s="18" t="s">
        <v>8</v>
      </c>
      <c r="AF25" s="18" t="s">
        <v>8</v>
      </c>
      <c r="AG25" s="18" t="s">
        <v>8</v>
      </c>
      <c r="AH25" s="18" t="s">
        <v>0</v>
      </c>
      <c r="AI25" s="18" t="s">
        <v>8</v>
      </c>
      <c r="AJ25" s="9"/>
    </row>
    <row r="26" spans="1:36" s="8" customFormat="1" ht="22" customHeight="1" thickBot="1" x14ac:dyDescent="0.3">
      <c r="A26" s="6"/>
      <c r="B26" s="65" t="s">
        <v>18</v>
      </c>
      <c r="C26" s="66"/>
      <c r="D26" s="7" t="s">
        <v>17</v>
      </c>
      <c r="E26" s="67" t="s">
        <v>11</v>
      </c>
      <c r="F26" s="68"/>
      <c r="G26" s="13">
        <f>COUNTIF(E25:AI25,"H")</f>
        <v>22</v>
      </c>
      <c r="H26" s="67" t="s">
        <v>12</v>
      </c>
      <c r="I26" s="68"/>
      <c r="J26" s="13">
        <f>COUNTIF(E25:AI25,"T")</f>
        <v>5</v>
      </c>
      <c r="K26" s="67" t="s">
        <v>13</v>
      </c>
      <c r="L26" s="68"/>
      <c r="M26" s="13">
        <f>COUNTIF(E25:AI25,"A") + COUNTIF(E25:AI25,"I")</f>
        <v>4</v>
      </c>
      <c r="N26" s="67" t="s">
        <v>14</v>
      </c>
      <c r="O26" s="68"/>
      <c r="P26" s="13">
        <f>IF((G26+J26+M26)=0,0,(G26+J26)/(G26+J26+M26)*100)</f>
        <v>87.096774193548384</v>
      </c>
      <c r="Q26" s="67"/>
      <c r="R26" s="68"/>
      <c r="S26" s="13"/>
      <c r="T26" s="67"/>
      <c r="U26" s="68"/>
      <c r="V26" s="14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6"/>
    </row>
    <row r="27" spans="1:36" ht="22" customHeight="1" x14ac:dyDescent="0.35">
      <c r="A27" s="2"/>
      <c r="B27" s="72" t="s">
        <v>33</v>
      </c>
      <c r="C27" s="72"/>
      <c r="D27" s="72"/>
      <c r="E27" s="16" t="s">
        <v>8</v>
      </c>
      <c r="F27" s="16" t="s">
        <v>0</v>
      </c>
      <c r="G27" s="17" t="s">
        <v>8</v>
      </c>
      <c r="H27" s="17" t="s">
        <v>8</v>
      </c>
      <c r="I27" s="17" t="s">
        <v>8</v>
      </c>
      <c r="J27" s="17" t="s">
        <v>8</v>
      </c>
      <c r="K27" s="17" t="s">
        <v>8</v>
      </c>
      <c r="L27" s="19" t="s">
        <v>8</v>
      </c>
      <c r="M27" s="19" t="s">
        <v>9</v>
      </c>
      <c r="N27" s="18" t="s">
        <v>9</v>
      </c>
      <c r="O27" s="18" t="s">
        <v>8</v>
      </c>
      <c r="P27" s="18" t="s">
        <v>9</v>
      </c>
      <c r="Q27" s="18" t="s">
        <v>8</v>
      </c>
      <c r="R27" s="18" t="s">
        <v>8</v>
      </c>
      <c r="S27" s="18" t="s">
        <v>8</v>
      </c>
      <c r="T27" s="18" t="s">
        <v>8</v>
      </c>
      <c r="U27" s="18" t="s">
        <v>9</v>
      </c>
      <c r="V27" s="18" t="s">
        <v>8</v>
      </c>
      <c r="W27" s="18" t="s">
        <v>8</v>
      </c>
      <c r="X27" s="18" t="s">
        <v>8</v>
      </c>
      <c r="Y27" s="18" t="s">
        <v>9</v>
      </c>
      <c r="Z27" s="18" t="s">
        <v>0</v>
      </c>
      <c r="AA27" s="18" t="s">
        <v>0</v>
      </c>
      <c r="AB27" s="18" t="s">
        <v>8</v>
      </c>
      <c r="AC27" s="18" t="s">
        <v>8</v>
      </c>
      <c r="AD27" s="18" t="s">
        <v>8</v>
      </c>
      <c r="AE27" s="18" t="s">
        <v>8</v>
      </c>
      <c r="AF27" s="18" t="s">
        <v>8</v>
      </c>
      <c r="AG27" s="18" t="s">
        <v>8</v>
      </c>
      <c r="AH27" s="18" t="s">
        <v>0</v>
      </c>
      <c r="AI27" s="18" t="s">
        <v>8</v>
      </c>
      <c r="AJ27" s="2"/>
    </row>
    <row r="28" spans="1:36" s="8" customFormat="1" ht="22" customHeight="1" thickBot="1" x14ac:dyDescent="0.3">
      <c r="A28" s="6"/>
      <c r="B28" s="65" t="s">
        <v>18</v>
      </c>
      <c r="C28" s="66"/>
      <c r="D28" s="7" t="s">
        <v>17</v>
      </c>
      <c r="E28" s="67" t="s">
        <v>11</v>
      </c>
      <c r="F28" s="68"/>
      <c r="G28" s="13">
        <f>COUNTIF(E27:AI27,"H")</f>
        <v>22</v>
      </c>
      <c r="H28" s="67" t="s">
        <v>12</v>
      </c>
      <c r="I28" s="68"/>
      <c r="J28" s="13">
        <f>COUNTIF(E27:AI27,"T")</f>
        <v>5</v>
      </c>
      <c r="K28" s="67" t="s">
        <v>13</v>
      </c>
      <c r="L28" s="68"/>
      <c r="M28" s="13">
        <f>COUNTIF(E27:AI27,"A") + COUNTIF(E27:AI27,"I")</f>
        <v>4</v>
      </c>
      <c r="N28" s="67" t="s">
        <v>14</v>
      </c>
      <c r="O28" s="68"/>
      <c r="P28" s="13">
        <f>IF((G28+J28+M28)=0,0,(G28+J28)/(G28+J28+M28)*100)</f>
        <v>87.096774193548384</v>
      </c>
      <c r="Q28" s="67"/>
      <c r="R28" s="68"/>
      <c r="S28" s="13"/>
      <c r="T28" s="67"/>
      <c r="U28" s="68"/>
      <c r="V28" s="14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6"/>
    </row>
    <row r="29" spans="1:36" s="10" customFormat="1" ht="22" customHeight="1" x14ac:dyDescent="0.25">
      <c r="A29" s="9"/>
      <c r="B29" s="72" t="s">
        <v>34</v>
      </c>
      <c r="C29" s="72"/>
      <c r="D29" s="72"/>
      <c r="E29" s="16" t="s">
        <v>8</v>
      </c>
      <c r="F29" s="16" t="s">
        <v>0</v>
      </c>
      <c r="G29" s="17" t="s">
        <v>8</v>
      </c>
      <c r="H29" s="17" t="s">
        <v>8</v>
      </c>
      <c r="I29" s="17" t="s">
        <v>8</v>
      </c>
      <c r="J29" s="17" t="s">
        <v>8</v>
      </c>
      <c r="K29" s="17" t="s">
        <v>8</v>
      </c>
      <c r="L29" s="19" t="s">
        <v>8</v>
      </c>
      <c r="M29" s="19" t="s">
        <v>9</v>
      </c>
      <c r="N29" s="18" t="s">
        <v>9</v>
      </c>
      <c r="O29" s="18" t="s">
        <v>8</v>
      </c>
      <c r="P29" s="18" t="s">
        <v>9</v>
      </c>
      <c r="Q29" s="18" t="s">
        <v>8</v>
      </c>
      <c r="R29" s="18" t="s">
        <v>8</v>
      </c>
      <c r="S29" s="18" t="s">
        <v>8</v>
      </c>
      <c r="T29" s="18" t="s">
        <v>8</v>
      </c>
      <c r="U29" s="18" t="s">
        <v>9</v>
      </c>
      <c r="V29" s="18" t="s">
        <v>8</v>
      </c>
      <c r="W29" s="18" t="s">
        <v>8</v>
      </c>
      <c r="X29" s="18" t="s">
        <v>8</v>
      </c>
      <c r="Y29" s="18" t="s">
        <v>9</v>
      </c>
      <c r="Z29" s="18" t="s">
        <v>0</v>
      </c>
      <c r="AA29" s="18" t="s">
        <v>0</v>
      </c>
      <c r="AB29" s="18" t="s">
        <v>8</v>
      </c>
      <c r="AC29" s="18" t="s">
        <v>8</v>
      </c>
      <c r="AD29" s="18" t="s">
        <v>8</v>
      </c>
      <c r="AE29" s="18" t="s">
        <v>8</v>
      </c>
      <c r="AF29" s="18" t="s">
        <v>8</v>
      </c>
      <c r="AG29" s="18" t="s">
        <v>8</v>
      </c>
      <c r="AH29" s="18" t="s">
        <v>0</v>
      </c>
      <c r="AI29" s="18" t="s">
        <v>8</v>
      </c>
      <c r="AJ29" s="9"/>
    </row>
    <row r="30" spans="1:36" s="8" customFormat="1" ht="22" customHeight="1" thickBot="1" x14ac:dyDescent="0.3">
      <c r="A30" s="6"/>
      <c r="B30" s="65" t="s">
        <v>18</v>
      </c>
      <c r="C30" s="66"/>
      <c r="D30" s="7" t="s">
        <v>17</v>
      </c>
      <c r="E30" s="67" t="s">
        <v>11</v>
      </c>
      <c r="F30" s="68"/>
      <c r="G30" s="13">
        <f>COUNTIF(E29:AI29,"H")</f>
        <v>22</v>
      </c>
      <c r="H30" s="67" t="s">
        <v>12</v>
      </c>
      <c r="I30" s="68"/>
      <c r="J30" s="13">
        <f>COUNTIF(E29:AI29,"T")</f>
        <v>5</v>
      </c>
      <c r="K30" s="67" t="s">
        <v>13</v>
      </c>
      <c r="L30" s="68"/>
      <c r="M30" s="13">
        <f>COUNTIF(E29:AI29,"A") + COUNTIF(E29:AI29,"I")</f>
        <v>4</v>
      </c>
      <c r="N30" s="67" t="s">
        <v>14</v>
      </c>
      <c r="O30" s="68"/>
      <c r="P30" s="13">
        <f>IF((G30+J30+M30)=0,0,(G30+J30)/(G30+J30+M30)*100)</f>
        <v>87.096774193548384</v>
      </c>
      <c r="Q30" s="67"/>
      <c r="R30" s="68"/>
      <c r="S30" s="13"/>
      <c r="T30" s="67"/>
      <c r="U30" s="68"/>
      <c r="V30" s="14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6"/>
    </row>
    <row r="31" spans="1:36" ht="22" customHeight="1" x14ac:dyDescent="0.35">
      <c r="A31" s="2"/>
      <c r="B31" s="72" t="s">
        <v>35</v>
      </c>
      <c r="C31" s="72"/>
      <c r="D31" s="72"/>
      <c r="E31" s="16" t="s">
        <v>8</v>
      </c>
      <c r="F31" s="16" t="s">
        <v>0</v>
      </c>
      <c r="G31" s="17" t="s">
        <v>8</v>
      </c>
      <c r="H31" s="17" t="s">
        <v>8</v>
      </c>
      <c r="I31" s="17" t="s">
        <v>8</v>
      </c>
      <c r="J31" s="17" t="s">
        <v>8</v>
      </c>
      <c r="K31" s="17" t="s">
        <v>8</v>
      </c>
      <c r="L31" s="19" t="s">
        <v>8</v>
      </c>
      <c r="M31" s="19" t="s">
        <v>9</v>
      </c>
      <c r="N31" s="18" t="s">
        <v>9</v>
      </c>
      <c r="O31" s="18" t="s">
        <v>8</v>
      </c>
      <c r="P31" s="18" t="s">
        <v>9</v>
      </c>
      <c r="Q31" s="18" t="s">
        <v>8</v>
      </c>
      <c r="R31" s="18" t="s">
        <v>8</v>
      </c>
      <c r="S31" s="18" t="s">
        <v>8</v>
      </c>
      <c r="T31" s="18" t="s">
        <v>8</v>
      </c>
      <c r="U31" s="18" t="s">
        <v>9</v>
      </c>
      <c r="V31" s="18" t="s">
        <v>8</v>
      </c>
      <c r="W31" s="18" t="s">
        <v>8</v>
      </c>
      <c r="X31" s="18" t="s">
        <v>8</v>
      </c>
      <c r="Y31" s="18" t="s">
        <v>9</v>
      </c>
      <c r="Z31" s="18" t="s">
        <v>0</v>
      </c>
      <c r="AA31" s="18" t="s">
        <v>0</v>
      </c>
      <c r="AB31" s="18" t="s">
        <v>8</v>
      </c>
      <c r="AC31" s="18" t="s">
        <v>8</v>
      </c>
      <c r="AD31" s="18" t="s">
        <v>8</v>
      </c>
      <c r="AE31" s="18" t="s">
        <v>8</v>
      </c>
      <c r="AF31" s="18" t="s">
        <v>8</v>
      </c>
      <c r="AG31" s="18" t="s">
        <v>8</v>
      </c>
      <c r="AH31" s="18" t="s">
        <v>0</v>
      </c>
      <c r="AI31" s="18" t="s">
        <v>8</v>
      </c>
      <c r="AJ31" s="2"/>
    </row>
    <row r="32" spans="1:36" s="8" customFormat="1" ht="22" customHeight="1" thickBot="1" x14ac:dyDescent="0.3">
      <c r="A32" s="6"/>
      <c r="B32" s="65" t="s">
        <v>18</v>
      </c>
      <c r="C32" s="66"/>
      <c r="D32" s="7" t="s">
        <v>17</v>
      </c>
      <c r="E32" s="67" t="s">
        <v>11</v>
      </c>
      <c r="F32" s="68"/>
      <c r="G32" s="13">
        <f>COUNTIF(E31:AI31,"H")</f>
        <v>22</v>
      </c>
      <c r="H32" s="67" t="s">
        <v>12</v>
      </c>
      <c r="I32" s="68"/>
      <c r="J32" s="13">
        <f>COUNTIF(E31:AI31,"T")</f>
        <v>5</v>
      </c>
      <c r="K32" s="67" t="s">
        <v>13</v>
      </c>
      <c r="L32" s="68"/>
      <c r="M32" s="13">
        <f>COUNTIF(E31:AI31,"A") + COUNTIF(E31:AI31,"I")</f>
        <v>4</v>
      </c>
      <c r="N32" s="67" t="s">
        <v>14</v>
      </c>
      <c r="O32" s="68"/>
      <c r="P32" s="13">
        <f>IF((G32+J32+M32)=0,0,(G32+J32)/(G32+J32+M32)*100)</f>
        <v>87.096774193548384</v>
      </c>
      <c r="Q32" s="67"/>
      <c r="R32" s="68"/>
      <c r="S32" s="13"/>
      <c r="T32" s="67"/>
      <c r="U32" s="68"/>
      <c r="V32" s="14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6"/>
    </row>
    <row r="33" spans="1:36" ht="22" customHeight="1" x14ac:dyDescent="0.35">
      <c r="A33" s="2"/>
      <c r="B33" s="72" t="s">
        <v>36</v>
      </c>
      <c r="C33" s="72"/>
      <c r="D33" s="72"/>
      <c r="E33" s="16" t="s">
        <v>8</v>
      </c>
      <c r="F33" s="16" t="s">
        <v>0</v>
      </c>
      <c r="G33" s="17" t="s">
        <v>8</v>
      </c>
      <c r="H33" s="17" t="s">
        <v>8</v>
      </c>
      <c r="I33" s="17" t="s">
        <v>8</v>
      </c>
      <c r="J33" s="17" t="s">
        <v>8</v>
      </c>
      <c r="K33" s="17" t="s">
        <v>8</v>
      </c>
      <c r="L33" s="19" t="s">
        <v>8</v>
      </c>
      <c r="M33" s="19" t="s">
        <v>9</v>
      </c>
      <c r="N33" s="18" t="s">
        <v>9</v>
      </c>
      <c r="O33" s="18" t="s">
        <v>8</v>
      </c>
      <c r="P33" s="18" t="s">
        <v>9</v>
      </c>
      <c r="Q33" s="18" t="s">
        <v>8</v>
      </c>
      <c r="R33" s="18" t="s">
        <v>8</v>
      </c>
      <c r="S33" s="18" t="s">
        <v>8</v>
      </c>
      <c r="T33" s="18" t="s">
        <v>8</v>
      </c>
      <c r="U33" s="18" t="s">
        <v>9</v>
      </c>
      <c r="V33" s="18" t="s">
        <v>8</v>
      </c>
      <c r="W33" s="18" t="s">
        <v>8</v>
      </c>
      <c r="X33" s="18" t="s">
        <v>8</v>
      </c>
      <c r="Y33" s="18" t="s">
        <v>9</v>
      </c>
      <c r="Z33" s="18" t="s">
        <v>0</v>
      </c>
      <c r="AA33" s="18" t="s">
        <v>0</v>
      </c>
      <c r="AB33" s="18" t="s">
        <v>8</v>
      </c>
      <c r="AC33" s="18" t="s">
        <v>8</v>
      </c>
      <c r="AD33" s="18" t="s">
        <v>8</v>
      </c>
      <c r="AE33" s="18" t="s">
        <v>8</v>
      </c>
      <c r="AF33" s="18" t="s">
        <v>8</v>
      </c>
      <c r="AG33" s="18" t="s">
        <v>8</v>
      </c>
      <c r="AH33" s="18" t="s">
        <v>0</v>
      </c>
      <c r="AI33" s="18" t="s">
        <v>8</v>
      </c>
      <c r="AJ33" s="2"/>
    </row>
    <row r="34" spans="1:36" s="8" customFormat="1" ht="22" customHeight="1" thickBot="1" x14ac:dyDescent="0.3">
      <c r="A34" s="6"/>
      <c r="B34" s="65" t="s">
        <v>18</v>
      </c>
      <c r="C34" s="66"/>
      <c r="D34" s="7" t="s">
        <v>17</v>
      </c>
      <c r="E34" s="67" t="s">
        <v>11</v>
      </c>
      <c r="F34" s="68"/>
      <c r="G34" s="13">
        <f>COUNTIF(E33:AI33,"H")</f>
        <v>22</v>
      </c>
      <c r="H34" s="67" t="s">
        <v>12</v>
      </c>
      <c r="I34" s="68"/>
      <c r="J34" s="13">
        <f>COUNTIF(E33:AI33,"T")</f>
        <v>5</v>
      </c>
      <c r="K34" s="67" t="s">
        <v>13</v>
      </c>
      <c r="L34" s="68"/>
      <c r="M34" s="13">
        <f>COUNTIF(E33:AI33,"A") + COUNTIF(E33:AI33,"I")</f>
        <v>4</v>
      </c>
      <c r="N34" s="67" t="s">
        <v>14</v>
      </c>
      <c r="O34" s="68"/>
      <c r="P34" s="13">
        <f>IF((G34+J34+M34)=0,0,(G34+J34)/(G34+J34+M34)*100)</f>
        <v>87.096774193548384</v>
      </c>
      <c r="Q34" s="67"/>
      <c r="R34" s="68"/>
      <c r="S34" s="13"/>
      <c r="T34" s="67"/>
      <c r="U34" s="68"/>
      <c r="V34" s="14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6"/>
    </row>
    <row r="35" spans="1:36" s="10" customFormat="1" ht="22" customHeight="1" x14ac:dyDescent="0.25">
      <c r="A35" s="9"/>
      <c r="B35" s="69" t="s">
        <v>37</v>
      </c>
      <c r="C35" s="70"/>
      <c r="D35" s="71"/>
      <c r="E35" s="16" t="s">
        <v>8</v>
      </c>
      <c r="F35" s="16" t="s">
        <v>0</v>
      </c>
      <c r="G35" s="17" t="s">
        <v>8</v>
      </c>
      <c r="H35" s="17" t="s">
        <v>8</v>
      </c>
      <c r="I35" s="17" t="s">
        <v>8</v>
      </c>
      <c r="J35" s="17" t="s">
        <v>8</v>
      </c>
      <c r="K35" s="17" t="s">
        <v>8</v>
      </c>
      <c r="L35" s="19" t="s">
        <v>8</v>
      </c>
      <c r="M35" s="19" t="s">
        <v>9</v>
      </c>
      <c r="N35" s="18" t="s">
        <v>9</v>
      </c>
      <c r="O35" s="18" t="s">
        <v>8</v>
      </c>
      <c r="P35" s="18" t="s">
        <v>9</v>
      </c>
      <c r="Q35" s="18" t="s">
        <v>8</v>
      </c>
      <c r="R35" s="18" t="s">
        <v>8</v>
      </c>
      <c r="S35" s="18" t="s">
        <v>8</v>
      </c>
      <c r="T35" s="18" t="s">
        <v>8</v>
      </c>
      <c r="U35" s="18" t="s">
        <v>9</v>
      </c>
      <c r="V35" s="18" t="s">
        <v>8</v>
      </c>
      <c r="W35" s="18" t="s">
        <v>8</v>
      </c>
      <c r="X35" s="18" t="s">
        <v>8</v>
      </c>
      <c r="Y35" s="18" t="s">
        <v>9</v>
      </c>
      <c r="Z35" s="18" t="s">
        <v>0</v>
      </c>
      <c r="AA35" s="18" t="s">
        <v>0</v>
      </c>
      <c r="AB35" s="18" t="s">
        <v>8</v>
      </c>
      <c r="AC35" s="18" t="s">
        <v>8</v>
      </c>
      <c r="AD35" s="18" t="s">
        <v>8</v>
      </c>
      <c r="AE35" s="18" t="s">
        <v>8</v>
      </c>
      <c r="AF35" s="18" t="s">
        <v>8</v>
      </c>
      <c r="AG35" s="18" t="s">
        <v>8</v>
      </c>
      <c r="AH35" s="18" t="s">
        <v>0</v>
      </c>
      <c r="AI35" s="18" t="s">
        <v>8</v>
      </c>
      <c r="AJ35" s="9"/>
    </row>
    <row r="36" spans="1:36" s="8" customFormat="1" ht="22" customHeight="1" thickBot="1" x14ac:dyDescent="0.3">
      <c r="A36" s="6"/>
      <c r="B36" s="65" t="s">
        <v>18</v>
      </c>
      <c r="C36" s="66"/>
      <c r="D36" s="7" t="s">
        <v>17</v>
      </c>
      <c r="E36" s="67" t="s">
        <v>11</v>
      </c>
      <c r="F36" s="68"/>
      <c r="G36" s="13">
        <f>COUNTIF(E35:AI35,"H")</f>
        <v>22</v>
      </c>
      <c r="H36" s="67" t="s">
        <v>12</v>
      </c>
      <c r="I36" s="68"/>
      <c r="J36" s="13">
        <f>COUNTIF(E35:AI35,"T")</f>
        <v>5</v>
      </c>
      <c r="K36" s="67" t="s">
        <v>13</v>
      </c>
      <c r="L36" s="68"/>
      <c r="M36" s="13">
        <f>COUNTIF(E35:AI35,"A") + COUNTIF(E35:AI35,"I")</f>
        <v>4</v>
      </c>
      <c r="N36" s="67" t="s">
        <v>14</v>
      </c>
      <c r="O36" s="68"/>
      <c r="P36" s="13">
        <f>IF((G36+J36+M36)=0,0,(G36+J36)/(G36+J36+M36)*100)</f>
        <v>87.096774193548384</v>
      </c>
      <c r="Q36" s="67"/>
      <c r="R36" s="68"/>
      <c r="S36" s="13"/>
      <c r="T36" s="67"/>
      <c r="U36" s="68"/>
      <c r="V36" s="14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6"/>
    </row>
    <row r="37" spans="1:36" s="10" customFormat="1" ht="22" customHeight="1" x14ac:dyDescent="0.25">
      <c r="A37" s="9"/>
      <c r="B37" s="69" t="s">
        <v>38</v>
      </c>
      <c r="C37" s="70"/>
      <c r="D37" s="71"/>
      <c r="E37" s="16" t="s">
        <v>8</v>
      </c>
      <c r="F37" s="16" t="s">
        <v>0</v>
      </c>
      <c r="G37" s="17" t="s">
        <v>8</v>
      </c>
      <c r="H37" s="17" t="s">
        <v>8</v>
      </c>
      <c r="I37" s="17" t="s">
        <v>8</v>
      </c>
      <c r="J37" s="17" t="s">
        <v>8</v>
      </c>
      <c r="K37" s="17" t="s">
        <v>8</v>
      </c>
      <c r="L37" s="19" t="s">
        <v>8</v>
      </c>
      <c r="M37" s="19" t="s">
        <v>9</v>
      </c>
      <c r="N37" s="18" t="s">
        <v>9</v>
      </c>
      <c r="O37" s="18" t="s">
        <v>8</v>
      </c>
      <c r="P37" s="18" t="s">
        <v>9</v>
      </c>
      <c r="Q37" s="18" t="s">
        <v>8</v>
      </c>
      <c r="R37" s="18" t="s">
        <v>8</v>
      </c>
      <c r="S37" s="18" t="s">
        <v>8</v>
      </c>
      <c r="T37" s="18" t="s">
        <v>8</v>
      </c>
      <c r="U37" s="18" t="s">
        <v>9</v>
      </c>
      <c r="V37" s="18" t="s">
        <v>8</v>
      </c>
      <c r="W37" s="18" t="s">
        <v>8</v>
      </c>
      <c r="X37" s="18" t="s">
        <v>8</v>
      </c>
      <c r="Y37" s="18" t="s">
        <v>9</v>
      </c>
      <c r="Z37" s="18" t="s">
        <v>0</v>
      </c>
      <c r="AA37" s="18" t="s">
        <v>0</v>
      </c>
      <c r="AB37" s="18" t="s">
        <v>8</v>
      </c>
      <c r="AC37" s="18" t="s">
        <v>8</v>
      </c>
      <c r="AD37" s="18" t="s">
        <v>8</v>
      </c>
      <c r="AE37" s="18" t="s">
        <v>8</v>
      </c>
      <c r="AF37" s="18" t="s">
        <v>8</v>
      </c>
      <c r="AG37" s="18" t="s">
        <v>8</v>
      </c>
      <c r="AH37" s="18" t="s">
        <v>0</v>
      </c>
      <c r="AI37" s="18" t="s">
        <v>8</v>
      </c>
      <c r="AJ37" s="9"/>
    </row>
    <row r="38" spans="1:36" s="8" customFormat="1" ht="22" customHeight="1" thickBot="1" x14ac:dyDescent="0.3">
      <c r="A38" s="6"/>
      <c r="B38" s="65" t="s">
        <v>18</v>
      </c>
      <c r="C38" s="66"/>
      <c r="D38" s="7" t="s">
        <v>17</v>
      </c>
      <c r="E38" s="67" t="s">
        <v>11</v>
      </c>
      <c r="F38" s="68"/>
      <c r="G38" s="13">
        <f>COUNTIF(E37:AI37,"H")</f>
        <v>22</v>
      </c>
      <c r="H38" s="67" t="s">
        <v>12</v>
      </c>
      <c r="I38" s="68"/>
      <c r="J38" s="13">
        <f>COUNTIF(E37:AI37,"T")</f>
        <v>5</v>
      </c>
      <c r="K38" s="67" t="s">
        <v>13</v>
      </c>
      <c r="L38" s="68"/>
      <c r="M38" s="13">
        <f>COUNTIF(E37:AI37,"A") + COUNTIF(E37:AI37,"I")</f>
        <v>4</v>
      </c>
      <c r="N38" s="67" t="s">
        <v>14</v>
      </c>
      <c r="O38" s="68"/>
      <c r="P38" s="13">
        <f>IF((G38+J38+M38)=0,0,(G38+J38)/(G38+J38+M38)*100)</f>
        <v>87.096774193548384</v>
      </c>
      <c r="Q38" s="67"/>
      <c r="R38" s="68"/>
      <c r="S38" s="13"/>
      <c r="T38" s="67"/>
      <c r="U38" s="68"/>
      <c r="V38" s="14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6"/>
    </row>
    <row r="39" spans="1:36" s="10" customFormat="1" ht="22" customHeight="1" x14ac:dyDescent="0.25">
      <c r="A39" s="9"/>
      <c r="B39" s="69" t="s">
        <v>39</v>
      </c>
      <c r="C39" s="70"/>
      <c r="D39" s="71"/>
      <c r="E39" s="16" t="s">
        <v>8</v>
      </c>
      <c r="F39" s="16" t="s">
        <v>0</v>
      </c>
      <c r="G39" s="17" t="s">
        <v>8</v>
      </c>
      <c r="H39" s="17" t="s">
        <v>8</v>
      </c>
      <c r="I39" s="17" t="s">
        <v>8</v>
      </c>
      <c r="J39" s="17" t="s">
        <v>8</v>
      </c>
      <c r="K39" s="17" t="s">
        <v>8</v>
      </c>
      <c r="L39" s="19" t="s">
        <v>8</v>
      </c>
      <c r="M39" s="19" t="s">
        <v>9</v>
      </c>
      <c r="N39" s="18" t="s">
        <v>9</v>
      </c>
      <c r="O39" s="18" t="s">
        <v>8</v>
      </c>
      <c r="P39" s="18" t="s">
        <v>9</v>
      </c>
      <c r="Q39" s="18" t="s">
        <v>8</v>
      </c>
      <c r="R39" s="18" t="s">
        <v>8</v>
      </c>
      <c r="S39" s="18" t="s">
        <v>8</v>
      </c>
      <c r="T39" s="18" t="s">
        <v>8</v>
      </c>
      <c r="U39" s="18" t="s">
        <v>9</v>
      </c>
      <c r="V39" s="18" t="s">
        <v>8</v>
      </c>
      <c r="W39" s="18" t="s">
        <v>8</v>
      </c>
      <c r="X39" s="18" t="s">
        <v>8</v>
      </c>
      <c r="Y39" s="18" t="s">
        <v>9</v>
      </c>
      <c r="Z39" s="18" t="s">
        <v>0</v>
      </c>
      <c r="AA39" s="18" t="s">
        <v>0</v>
      </c>
      <c r="AB39" s="18" t="s">
        <v>8</v>
      </c>
      <c r="AC39" s="18" t="s">
        <v>8</v>
      </c>
      <c r="AD39" s="18" t="s">
        <v>8</v>
      </c>
      <c r="AE39" s="18" t="s">
        <v>8</v>
      </c>
      <c r="AF39" s="18" t="s">
        <v>8</v>
      </c>
      <c r="AG39" s="18" t="s">
        <v>8</v>
      </c>
      <c r="AH39" s="18" t="s">
        <v>0</v>
      </c>
      <c r="AI39" s="18" t="s">
        <v>8</v>
      </c>
      <c r="AJ39" s="9"/>
    </row>
    <row r="40" spans="1:36" s="8" customFormat="1" ht="22" customHeight="1" thickBot="1" x14ac:dyDescent="0.3">
      <c r="A40" s="6"/>
      <c r="B40" s="65" t="s">
        <v>18</v>
      </c>
      <c r="C40" s="66"/>
      <c r="D40" s="7" t="s">
        <v>17</v>
      </c>
      <c r="E40" s="67" t="s">
        <v>11</v>
      </c>
      <c r="F40" s="68"/>
      <c r="G40" s="13">
        <f>COUNTIF(E39:AI39,"H")</f>
        <v>22</v>
      </c>
      <c r="H40" s="67" t="s">
        <v>12</v>
      </c>
      <c r="I40" s="68"/>
      <c r="J40" s="13">
        <f>COUNTIF(E39:AI39,"T")</f>
        <v>5</v>
      </c>
      <c r="K40" s="67" t="s">
        <v>13</v>
      </c>
      <c r="L40" s="68"/>
      <c r="M40" s="13">
        <f>COUNTIF(E39:AI39,"A") + COUNTIF(E39:AI39,"I")</f>
        <v>4</v>
      </c>
      <c r="N40" s="67" t="s">
        <v>14</v>
      </c>
      <c r="O40" s="68"/>
      <c r="P40" s="13">
        <f>IF((G40+J40+M40)=0,0,(G40+J40)/(G40+J40+M40)*100)</f>
        <v>87.096774193548384</v>
      </c>
      <c r="Q40" s="67"/>
      <c r="R40" s="68"/>
      <c r="S40" s="13"/>
      <c r="T40" s="67"/>
      <c r="U40" s="68"/>
      <c r="V40" s="14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6"/>
    </row>
    <row r="41" spans="1:36" s="10" customFormat="1" ht="22" customHeight="1" x14ac:dyDescent="0.25">
      <c r="A41" s="9"/>
      <c r="B41" s="69" t="s">
        <v>40</v>
      </c>
      <c r="C41" s="70"/>
      <c r="D41" s="71"/>
      <c r="E41" s="16" t="s">
        <v>8</v>
      </c>
      <c r="F41" s="16" t="s">
        <v>0</v>
      </c>
      <c r="G41" s="17" t="s">
        <v>8</v>
      </c>
      <c r="H41" s="17" t="s">
        <v>8</v>
      </c>
      <c r="I41" s="17" t="s">
        <v>8</v>
      </c>
      <c r="J41" s="17" t="s">
        <v>8</v>
      </c>
      <c r="K41" s="17" t="s">
        <v>8</v>
      </c>
      <c r="L41" s="19" t="s">
        <v>8</v>
      </c>
      <c r="M41" s="19" t="s">
        <v>9</v>
      </c>
      <c r="N41" s="18" t="s">
        <v>9</v>
      </c>
      <c r="O41" s="18" t="s">
        <v>8</v>
      </c>
      <c r="P41" s="18" t="s">
        <v>9</v>
      </c>
      <c r="Q41" s="18" t="s">
        <v>8</v>
      </c>
      <c r="R41" s="18" t="s">
        <v>8</v>
      </c>
      <c r="S41" s="18" t="s">
        <v>8</v>
      </c>
      <c r="T41" s="18" t="s">
        <v>8</v>
      </c>
      <c r="U41" s="18" t="s">
        <v>9</v>
      </c>
      <c r="V41" s="18" t="s">
        <v>8</v>
      </c>
      <c r="W41" s="18" t="s">
        <v>8</v>
      </c>
      <c r="X41" s="18" t="s">
        <v>8</v>
      </c>
      <c r="Y41" s="18" t="s">
        <v>9</v>
      </c>
      <c r="Z41" s="18" t="s">
        <v>0</v>
      </c>
      <c r="AA41" s="18" t="s">
        <v>0</v>
      </c>
      <c r="AB41" s="18" t="s">
        <v>8</v>
      </c>
      <c r="AC41" s="18" t="s">
        <v>8</v>
      </c>
      <c r="AD41" s="18" t="s">
        <v>8</v>
      </c>
      <c r="AE41" s="18" t="s">
        <v>8</v>
      </c>
      <c r="AF41" s="18" t="s">
        <v>8</v>
      </c>
      <c r="AG41" s="18" t="s">
        <v>8</v>
      </c>
      <c r="AH41" s="18" t="s">
        <v>0</v>
      </c>
      <c r="AI41" s="18" t="s">
        <v>8</v>
      </c>
      <c r="AJ41" s="9"/>
    </row>
    <row r="42" spans="1:36" s="8" customFormat="1" ht="22" customHeight="1" thickBot="1" x14ac:dyDescent="0.3">
      <c r="A42" s="6"/>
      <c r="B42" s="65" t="s">
        <v>18</v>
      </c>
      <c r="C42" s="66"/>
      <c r="D42" s="7" t="s">
        <v>17</v>
      </c>
      <c r="E42" s="67" t="s">
        <v>11</v>
      </c>
      <c r="F42" s="68"/>
      <c r="G42" s="13">
        <f>COUNTIF(E41:AI41,"H")</f>
        <v>22</v>
      </c>
      <c r="H42" s="67" t="s">
        <v>12</v>
      </c>
      <c r="I42" s="68"/>
      <c r="J42" s="13">
        <f>COUNTIF(E41:AI41,"T")</f>
        <v>5</v>
      </c>
      <c r="K42" s="67" t="s">
        <v>13</v>
      </c>
      <c r="L42" s="68"/>
      <c r="M42" s="13">
        <f>COUNTIF(E41:AI41,"A") + COUNTIF(E41:AI41,"I")</f>
        <v>4</v>
      </c>
      <c r="N42" s="67" t="s">
        <v>14</v>
      </c>
      <c r="O42" s="68"/>
      <c r="P42" s="13">
        <f>IF((G42+J42+M42)=0,0,(G42+J42)/(G42+J42+M42)*100)</f>
        <v>87.096774193548384</v>
      </c>
      <c r="Q42" s="67"/>
      <c r="R42" s="68"/>
      <c r="S42" s="13"/>
      <c r="T42" s="67"/>
      <c r="U42" s="68"/>
      <c r="V42" s="14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6"/>
    </row>
    <row r="43" spans="1:36" s="10" customFormat="1" ht="22" customHeight="1" x14ac:dyDescent="0.25">
      <c r="A43" s="9"/>
      <c r="B43" s="62" t="s">
        <v>41</v>
      </c>
      <c r="C43" s="63"/>
      <c r="D43" s="64"/>
      <c r="E43" s="16" t="s">
        <v>8</v>
      </c>
      <c r="F43" s="16" t="s">
        <v>0</v>
      </c>
      <c r="G43" s="17" t="s">
        <v>8</v>
      </c>
      <c r="H43" s="17" t="s">
        <v>8</v>
      </c>
      <c r="I43" s="17" t="s">
        <v>8</v>
      </c>
      <c r="J43" s="17" t="s">
        <v>8</v>
      </c>
      <c r="K43" s="17" t="s">
        <v>8</v>
      </c>
      <c r="L43" s="19" t="s">
        <v>8</v>
      </c>
      <c r="M43" s="19" t="s">
        <v>9</v>
      </c>
      <c r="N43" s="18" t="s">
        <v>9</v>
      </c>
      <c r="O43" s="18" t="s">
        <v>8</v>
      </c>
      <c r="P43" s="18" t="s">
        <v>9</v>
      </c>
      <c r="Q43" s="18" t="s">
        <v>8</v>
      </c>
      <c r="R43" s="18" t="s">
        <v>8</v>
      </c>
      <c r="S43" s="18" t="s">
        <v>8</v>
      </c>
      <c r="T43" s="18" t="s">
        <v>8</v>
      </c>
      <c r="U43" s="18" t="s">
        <v>9</v>
      </c>
      <c r="V43" s="18" t="s">
        <v>8</v>
      </c>
      <c r="W43" s="18" t="s">
        <v>8</v>
      </c>
      <c r="X43" s="18" t="s">
        <v>8</v>
      </c>
      <c r="Y43" s="18" t="s">
        <v>9</v>
      </c>
      <c r="Z43" s="18" t="s">
        <v>0</v>
      </c>
      <c r="AA43" s="18" t="s">
        <v>0</v>
      </c>
      <c r="AB43" s="18" t="s">
        <v>8</v>
      </c>
      <c r="AC43" s="18" t="s">
        <v>8</v>
      </c>
      <c r="AD43" s="18" t="s">
        <v>8</v>
      </c>
      <c r="AE43" s="18" t="s">
        <v>8</v>
      </c>
      <c r="AF43" s="18" t="s">
        <v>8</v>
      </c>
      <c r="AG43" s="18" t="s">
        <v>8</v>
      </c>
      <c r="AH43" s="18" t="s">
        <v>0</v>
      </c>
      <c r="AI43" s="18" t="s">
        <v>8</v>
      </c>
      <c r="AJ43" s="9"/>
    </row>
    <row r="44" spans="1:36" s="8" customFormat="1" ht="22" customHeight="1" thickBot="1" x14ac:dyDescent="0.3">
      <c r="A44" s="6"/>
      <c r="B44" s="65" t="s">
        <v>18</v>
      </c>
      <c r="C44" s="66"/>
      <c r="D44" s="7" t="s">
        <v>17</v>
      </c>
      <c r="E44" s="67" t="s">
        <v>11</v>
      </c>
      <c r="F44" s="68"/>
      <c r="G44" s="13">
        <f>COUNTIF(E43:AI43,"H")</f>
        <v>22</v>
      </c>
      <c r="H44" s="67" t="s">
        <v>12</v>
      </c>
      <c r="I44" s="68"/>
      <c r="J44" s="13">
        <f>COUNTIF(E43:AI43,"T")</f>
        <v>5</v>
      </c>
      <c r="K44" s="67" t="s">
        <v>13</v>
      </c>
      <c r="L44" s="68"/>
      <c r="M44" s="13">
        <f>COUNTIF(E43:AI43,"A") + COUNTIF(E43:AI43,"I")</f>
        <v>4</v>
      </c>
      <c r="N44" s="67" t="s">
        <v>14</v>
      </c>
      <c r="O44" s="68"/>
      <c r="P44" s="13">
        <f>IF((G44+J44+M44)=0,0,(G44+J44)/(G44+J44+M44)*100)</f>
        <v>87.096774193548384</v>
      </c>
      <c r="Q44" s="67"/>
      <c r="R44" s="68"/>
      <c r="S44" s="13"/>
      <c r="T44" s="67"/>
      <c r="U44" s="68"/>
      <c r="V44" s="14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6"/>
    </row>
    <row r="45" spans="1:36" ht="22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ht="28.5" customHeight="1" x14ac:dyDescent="0.35">
      <c r="A46" s="2"/>
      <c r="B46" s="48" t="s">
        <v>19</v>
      </c>
      <c r="C46" s="48"/>
      <c r="D46" s="48"/>
      <c r="E46" s="48"/>
      <c r="F46" s="48"/>
      <c r="G46" s="48"/>
      <c r="H46" s="48"/>
      <c r="I46" s="48"/>
      <c r="J46" s="48"/>
      <c r="L46" s="49" t="s">
        <v>52</v>
      </c>
      <c r="M46" s="50"/>
      <c r="N46" s="50"/>
      <c r="O46" s="50"/>
      <c r="P46" s="50"/>
      <c r="Q46" s="50"/>
      <c r="R46" s="50"/>
      <c r="S46" s="50"/>
      <c r="T46" s="50"/>
      <c r="U46" s="50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6" ht="22" customHeight="1" x14ac:dyDescent="0.35">
      <c r="A47" s="2"/>
      <c r="B47" s="51"/>
      <c r="C47" s="51"/>
      <c r="D47" s="51"/>
      <c r="E47" s="51"/>
      <c r="F47" s="51"/>
      <c r="G47" s="51"/>
      <c r="H47" s="51"/>
      <c r="I47" s="51"/>
      <c r="J47" s="51"/>
      <c r="L47" s="52" t="s">
        <v>21</v>
      </c>
      <c r="M47" s="52"/>
      <c r="N47" s="52"/>
      <c r="O47" s="52"/>
      <c r="P47" s="52"/>
      <c r="Q47" s="52"/>
      <c r="R47" s="52"/>
      <c r="S47" s="52"/>
      <c r="T47" s="53">
        <v>31</v>
      </c>
      <c r="U47" s="54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6" ht="22" customHeight="1" x14ac:dyDescent="0.35">
      <c r="A48" s="2"/>
      <c r="B48" s="51"/>
      <c r="C48" s="51"/>
      <c r="D48" s="51"/>
      <c r="E48" s="51"/>
      <c r="F48" s="51"/>
      <c r="G48" s="51"/>
      <c r="H48" s="51"/>
      <c r="I48" s="51"/>
      <c r="J48" s="51"/>
      <c r="L48" s="52" t="s">
        <v>42</v>
      </c>
      <c r="M48" s="52"/>
      <c r="N48" s="52"/>
      <c r="O48" s="52"/>
      <c r="P48" s="52"/>
      <c r="Q48" s="52"/>
      <c r="R48" s="52"/>
      <c r="S48" s="52"/>
      <c r="T48" s="53">
        <v>20</v>
      </c>
      <c r="U48" s="54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1:36" ht="22" customHeight="1" x14ac:dyDescent="0.35">
      <c r="A49" s="2"/>
      <c r="B49" s="51"/>
      <c r="C49" s="51"/>
      <c r="D49" s="51"/>
      <c r="E49" s="51"/>
      <c r="F49" s="51"/>
      <c r="G49" s="51"/>
      <c r="H49" s="51"/>
      <c r="I49" s="51"/>
      <c r="J49" s="51"/>
      <c r="L49" s="55" t="s">
        <v>43</v>
      </c>
      <c r="M49" s="55"/>
      <c r="N49" s="55"/>
      <c r="O49" s="55"/>
      <c r="P49" s="55"/>
      <c r="Q49" s="55"/>
      <c r="R49" s="55"/>
      <c r="S49" s="55"/>
      <c r="T49" s="58">
        <f>T47*T48</f>
        <v>620</v>
      </c>
      <c r="U49" s="59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1:36" ht="22" customHeight="1" x14ac:dyDescent="0.35">
      <c r="A50" s="2"/>
      <c r="B50" s="51"/>
      <c r="C50" s="51"/>
      <c r="D50" s="51"/>
      <c r="E50" s="51"/>
      <c r="F50" s="51"/>
      <c r="G50" s="51"/>
      <c r="H50" s="51"/>
      <c r="I50" s="51"/>
      <c r="J50" s="51"/>
      <c r="L50" s="52" t="s">
        <v>44</v>
      </c>
      <c r="M50" s="52"/>
      <c r="N50" s="52"/>
      <c r="O50" s="52"/>
      <c r="P50" s="52"/>
      <c r="Q50" s="52"/>
      <c r="R50" s="52"/>
      <c r="S50" s="52"/>
      <c r="T50" s="60">
        <f>COUNTIF(E5:AI43,"H")</f>
        <v>444</v>
      </c>
      <c r="U50" s="61"/>
      <c r="AD50" s="2"/>
      <c r="AE50" s="2"/>
      <c r="AF50" s="2"/>
      <c r="AG50" s="2"/>
      <c r="AH50" s="2"/>
      <c r="AI50" s="2"/>
    </row>
    <row r="51" spans="1:36" ht="22" customHeight="1" x14ac:dyDescent="0.35">
      <c r="A51" s="2"/>
      <c r="B51" s="51"/>
      <c r="C51" s="51"/>
      <c r="D51" s="51"/>
      <c r="E51" s="51"/>
      <c r="F51" s="51"/>
      <c r="G51" s="51"/>
      <c r="H51" s="51"/>
      <c r="I51" s="51"/>
      <c r="J51" s="51"/>
      <c r="L51" s="52" t="s">
        <v>87</v>
      </c>
      <c r="M51" s="52"/>
      <c r="N51" s="52"/>
      <c r="O51" s="52"/>
      <c r="P51" s="52"/>
      <c r="Q51" s="52"/>
      <c r="R51" s="52"/>
      <c r="S51" s="52"/>
      <c r="T51" s="60">
        <f>COUNTIF(E5:AI43,"T")</f>
        <v>96</v>
      </c>
      <c r="U51" s="61"/>
      <c r="AD51" s="2"/>
      <c r="AE51" s="2"/>
      <c r="AF51" s="2"/>
      <c r="AG51" s="2"/>
      <c r="AH51" s="2"/>
      <c r="AI51" s="2"/>
    </row>
    <row r="52" spans="1:36" ht="22" customHeight="1" x14ac:dyDescent="0.35">
      <c r="A52" s="2"/>
      <c r="B52" s="51"/>
      <c r="C52" s="51"/>
      <c r="D52" s="51"/>
      <c r="E52" s="51"/>
      <c r="F52" s="51"/>
      <c r="G52" s="51"/>
      <c r="H52" s="51"/>
      <c r="I52" s="51"/>
      <c r="J52" s="51"/>
      <c r="L52" s="52" t="s">
        <v>88</v>
      </c>
      <c r="M52" s="52"/>
      <c r="N52" s="52"/>
      <c r="O52" s="52"/>
      <c r="P52" s="52"/>
      <c r="Q52" s="52"/>
      <c r="R52" s="52"/>
      <c r="S52" s="52"/>
      <c r="T52" s="60">
        <f>COUNTIF(E5:AI43,"A")+COUNTIF(E5:AI43,"I")</f>
        <v>80</v>
      </c>
      <c r="U52" s="61"/>
      <c r="AD52" s="2"/>
      <c r="AE52" s="2"/>
      <c r="AF52" s="2"/>
      <c r="AG52" s="2"/>
      <c r="AH52" s="2"/>
      <c r="AI52" s="2"/>
    </row>
    <row r="53" spans="1:36" ht="22" customHeight="1" x14ac:dyDescent="0.35">
      <c r="A53" s="2"/>
      <c r="B53" s="51"/>
      <c r="C53" s="51"/>
      <c r="D53" s="51"/>
      <c r="E53" s="51"/>
      <c r="F53" s="51"/>
      <c r="G53" s="51"/>
      <c r="H53" s="51"/>
      <c r="I53" s="51"/>
      <c r="J53" s="51"/>
      <c r="L53" s="52" t="s">
        <v>47</v>
      </c>
      <c r="M53" s="52"/>
      <c r="N53" s="52"/>
      <c r="O53" s="52"/>
      <c r="P53" s="52"/>
      <c r="Q53" s="52"/>
      <c r="R53" s="52"/>
      <c r="S53" s="52"/>
      <c r="T53" s="56">
        <f>IF((T50+T51+T52)=0,0,(T50+T51)/( T50+T51+T52))</f>
        <v>0.87096774193548387</v>
      </c>
      <c r="U53" s="57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1:36" ht="16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ht="16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ht="16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ht="16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ht="16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ht="16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ht="16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spans="1:36" ht="16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ht="16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6" ht="16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ht="16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ht="16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ht="16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spans="1:36" ht="16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6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spans="1:36" ht="16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spans="1:36" ht="16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spans="1:36" ht="16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spans="1:36" ht="16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spans="1:36" ht="16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6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6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6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spans="1:36" ht="16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spans="1:36" ht="16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spans="1:36" ht="16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6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6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spans="1:36" ht="16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spans="1:36" ht="16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spans="1:36" ht="16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spans="1:36" ht="16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spans="1:36" ht="16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spans="1:36" ht="16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spans="1:36" ht="16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6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spans="1:36" ht="16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spans="1:36" ht="16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spans="1:36" ht="16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spans="1:36" ht="16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spans="1:36" ht="16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spans="1:36" ht="16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spans="1:36" ht="16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spans="1:36" ht="16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spans="1:36" ht="16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spans="1:36" ht="16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spans="1:36" ht="16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spans="1:36" ht="16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spans="1:36" ht="16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spans="1:36" ht="16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spans="1:36" ht="16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spans="1:36" ht="16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spans="1:36" ht="16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spans="1:36" ht="16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spans="1:36" ht="16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spans="1:36" ht="16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spans="1:36" ht="16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spans="1:36" ht="16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spans="1:36" ht="16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spans="1:36" ht="16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spans="1:36" ht="16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spans="1:36" ht="16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spans="1:36" ht="16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spans="1:36" ht="16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spans="1:36" ht="16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spans="1:36" ht="16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spans="1:36" ht="16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6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6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6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6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6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6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6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6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6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6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6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6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6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6" ht="16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6" ht="16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6" ht="16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6" ht="16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6" ht="16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6" ht="16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spans="1:36" ht="16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spans="1:36" ht="16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spans="1:36" ht="16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spans="1:36" ht="16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spans="1:36" ht="16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spans="1:36" ht="16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spans="1:36" ht="16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spans="1:36" ht="16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spans="1:36" ht="16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spans="1:36" ht="16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spans="1:36" ht="16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spans="1:36" ht="16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spans="1:36" ht="16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spans="1:36" ht="16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spans="1:36" ht="16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spans="1:36" ht="16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spans="1:36" ht="16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spans="1:36" ht="16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spans="1:36" ht="16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spans="1:36" ht="16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spans="1:36" ht="16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spans="1:36" ht="16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spans="1:36" ht="16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spans="1:36" ht="16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spans="1:36" ht="16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spans="1:36" ht="16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spans="1:36" ht="16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spans="1:36" ht="16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spans="1:36" ht="16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spans="1:36" ht="16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spans="1:36" ht="16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spans="1:36" ht="16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spans="1:36" ht="16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spans="1:36" ht="16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spans="1:36" ht="16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spans="1:36" ht="16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spans="1:36" ht="16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spans="1:36" ht="16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spans="1:36" ht="16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spans="1:36" ht="16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spans="1:36" ht="16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spans="1:36" ht="16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spans="1:36" ht="16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spans="1:36" ht="16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spans="1:36" ht="16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spans="1:36" ht="16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spans="1:36" ht="16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spans="1:36" ht="16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spans="1:36" ht="16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spans="1:36" ht="16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spans="1:36" ht="16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spans="1:36" ht="16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spans="1:36" ht="16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spans="1:36" ht="16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spans="1:36" ht="16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spans="1:36" ht="16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spans="1:36" ht="16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spans="1:36" ht="16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spans="1:36" ht="16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spans="1:36" ht="16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spans="1:36" ht="16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spans="1:36" ht="16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spans="1:36" ht="16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spans="1:36" ht="16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spans="1:36" ht="16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spans="1:36" ht="16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spans="1:36" ht="16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spans="1:36" ht="16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spans="1:36" ht="16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spans="1:36" ht="16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spans="1:36" ht="16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spans="1:36" ht="16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spans="1:36" ht="16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spans="1:36" ht="16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spans="1:36" ht="16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spans="1:36" ht="16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spans="1:36" ht="16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spans="1:36" ht="16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spans="1:36" ht="16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spans="1:36" ht="16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spans="1:36" ht="16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spans="1:36" ht="16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spans="1:36" ht="16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spans="1:36" ht="16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spans="1:36" ht="16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spans="1:36" ht="16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spans="1:36" ht="16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spans="1:36" ht="16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spans="1:36" ht="16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spans="1:36" ht="16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spans="1:36" ht="16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spans="1:36" ht="16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spans="1:36" ht="16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spans="1:36" ht="16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spans="1:36" ht="16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spans="1:36" ht="16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spans="1:36" ht="16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spans="1:36" ht="16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spans="1:36" ht="16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spans="1:36" ht="16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spans="1:36" ht="16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spans="1:36" ht="16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spans="1:36" ht="16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spans="1:36" ht="16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spans="1:36" ht="16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spans="1:36" ht="16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spans="1:36" ht="16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spans="1:36" ht="16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spans="1:36" ht="16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spans="1:36" ht="16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spans="1:36" ht="16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spans="1:36" ht="16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spans="1:36" ht="16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spans="1:36" ht="16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spans="1:36" ht="16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spans="1:36" ht="16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spans="1:36" ht="16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spans="1:36" ht="16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spans="1:36" ht="16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spans="1:36" ht="16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spans="1:36" ht="16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spans="1:36" ht="16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spans="1:36" ht="16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spans="1:36" ht="16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spans="1:36" ht="16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spans="1:36" ht="16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spans="1:36" ht="16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spans="1:36" ht="16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spans="1:36" ht="16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spans="1:36" ht="16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spans="1:36" ht="16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spans="1:36" ht="16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spans="1:36" ht="16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spans="1:36" ht="16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spans="1:36" ht="16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spans="1:36" ht="16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spans="1:36" ht="16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spans="1:36" ht="16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spans="1:36" ht="16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spans="1:36" ht="16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spans="1:36" ht="16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spans="1:36" ht="16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spans="1:36" ht="16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spans="1:36" ht="16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spans="1:36" ht="16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spans="1:36" ht="16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spans="1:36" ht="16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spans="1:36" ht="16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spans="1:36" ht="16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spans="1:36" ht="16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spans="1:36" ht="16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spans="1:36" ht="16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spans="1:36" ht="16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spans="1:36" ht="16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spans="1:36" ht="16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spans="1:36" ht="16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spans="1:36" ht="16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spans="1:36" ht="16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spans="1:36" ht="16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spans="1:36" ht="16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spans="1:36" ht="16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spans="1:36" ht="16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spans="1:36" ht="16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spans="1:36" ht="16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spans="1:36" ht="16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spans="1:36" ht="16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spans="1:36" ht="16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spans="1:36" ht="16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spans="1:36" ht="16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spans="1:36" ht="16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spans="1:36" ht="16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spans="1:36" ht="16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spans="1:36" ht="16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spans="1:36" ht="16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spans="1:36" ht="16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spans="1:36" ht="16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spans="1:36" ht="16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spans="1:36" ht="16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spans="1:36" ht="16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spans="1:36" ht="16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spans="1:36" ht="16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spans="1:36" ht="16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spans="1:36" ht="16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spans="1:36" ht="16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spans="1:36" ht="16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spans="1:36" ht="16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spans="1:36" ht="16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spans="1:36" ht="16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spans="1:36" ht="16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spans="1:36" ht="16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spans="1:36" ht="16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spans="1:36" ht="16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spans="1:36" ht="16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spans="1:36" ht="16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spans="1:36" ht="16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spans="1:36" ht="16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spans="1:36" ht="16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spans="1:36" ht="16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spans="1:36" ht="16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spans="1:36" ht="16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spans="1:36" ht="16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spans="1:36" ht="16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spans="1:36" ht="16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spans="1:36" ht="16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spans="1:36" ht="16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spans="1:36" ht="16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spans="1:36" ht="16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spans="1:36" ht="16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spans="1:36" ht="16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spans="1:36" ht="16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spans="1:36" ht="16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spans="1:36" ht="16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spans="1:36" ht="16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spans="1:36" ht="16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spans="1:36" ht="16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spans="1:36" ht="16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spans="1:36" ht="16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spans="1:36" ht="16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spans="1:36" ht="16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spans="1:36" ht="16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spans="1:36" ht="16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spans="1:36" ht="16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spans="1:36" ht="16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spans="1:36" ht="16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spans="1:36" ht="16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spans="1:36" ht="16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spans="1:36" ht="16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spans="1:36" ht="16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spans="1:36" ht="16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spans="1:36" ht="16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spans="1:36" ht="16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spans="1:36" ht="16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spans="1:36" ht="16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spans="1:36" ht="16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spans="1:36" ht="16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spans="1:36" ht="16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spans="1:36" ht="16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spans="1:36" ht="16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spans="1:36" ht="16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spans="1:36" ht="16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spans="1:36" ht="16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spans="1:36" ht="16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spans="1:36" ht="16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spans="1:36" ht="16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spans="1:36" ht="16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spans="1:36" ht="16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spans="1:36" ht="16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spans="1:36" ht="16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spans="1:36" ht="16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spans="1:36" ht="16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spans="1:36" ht="16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spans="1:36" ht="16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spans="1:36" ht="16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spans="1:36" ht="16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spans="1:36" ht="16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spans="1:36" ht="16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spans="1:36" ht="16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spans="1:36" ht="16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spans="1:36" ht="16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spans="1:36" ht="16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spans="1:36" ht="16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spans="1:36" ht="16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spans="1:36" ht="16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spans="1:36" ht="16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spans="1:36" ht="16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spans="1:36" ht="16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spans="1:36" ht="16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spans="1:36" ht="16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spans="1:36" ht="16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spans="1:36" ht="16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spans="1:36" ht="16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spans="1:36" ht="16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spans="1:36" ht="16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spans="1:36" ht="16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spans="1:36" ht="16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spans="1:36" ht="16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spans="1:36" ht="16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spans="1:36" ht="16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spans="1:36" ht="16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spans="1:36" ht="16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spans="1:36" ht="16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spans="1:36" ht="16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spans="1:36" ht="16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spans="1:36" ht="16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spans="1:36" ht="16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spans="1:36" ht="16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spans="1:36" ht="16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spans="1:36" ht="16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spans="1:36" ht="16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spans="1:36" ht="16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spans="1:36" ht="16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spans="1:36" ht="16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spans="1:36" ht="16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spans="1:36" ht="16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spans="1:36" ht="16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spans="1:36" ht="16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spans="1:36" ht="16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spans="1:36" ht="16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spans="1:36" ht="16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spans="1:36" ht="16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spans="1:36" ht="16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spans="1:36" ht="16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spans="1:36" ht="16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spans="1:36" ht="16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spans="1:36" ht="16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spans="1:36" ht="16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spans="1:36" ht="16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spans="1:36" ht="16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spans="1:36" ht="16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spans="1:36" ht="16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spans="1:36" ht="16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spans="1:36" ht="16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spans="1:36" ht="16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spans="1:36" ht="16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spans="1:36" ht="16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spans="1:36" ht="16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spans="1:36" ht="16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spans="1:36" ht="16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spans="1:36" ht="16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spans="1:36" ht="16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spans="1:36" ht="16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spans="1:36" ht="16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spans="1:36" ht="16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spans="1:36" ht="16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spans="1:36" ht="16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spans="1:36" ht="16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spans="1:36" ht="16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spans="1:36" ht="16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spans="1:36" ht="16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spans="1:36" ht="16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spans="1:36" ht="16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spans="1:36" ht="16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spans="1:36" ht="16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spans="1:36" ht="16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spans="1:36" ht="16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spans="1:36" ht="16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spans="1:36" ht="16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spans="1:36" ht="16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spans="1:36" ht="16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spans="1:36" ht="16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spans="1:36" ht="16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spans="1:36" ht="16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spans="1:36" ht="16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spans="1:36" ht="16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spans="1:36" ht="16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spans="1:36" ht="16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spans="1:36" ht="16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spans="1:36" ht="16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spans="1:36" ht="16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spans="1:36" ht="16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spans="1:36" ht="16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spans="1:36" ht="16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spans="1:36" ht="16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spans="1:36" ht="16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spans="1:36" ht="16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spans="1:36" ht="16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spans="1:36" ht="16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spans="1:36" ht="16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spans="1:36" ht="16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spans="1:36" ht="16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spans="1:36" ht="16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spans="1:36" ht="16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spans="1:36" ht="16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spans="1:36" ht="16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spans="1:36" ht="16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spans="1:36" ht="16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spans="1:36" ht="16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spans="1:36" ht="16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spans="1:36" ht="16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spans="1:36" ht="16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spans="1:36" ht="16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spans="1:36" ht="16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spans="1:36" ht="16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spans="1:36" ht="16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spans="1:36" ht="16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spans="1:36" ht="16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spans="1:36" ht="16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spans="1:36" ht="16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spans="1:36" ht="16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spans="1:36" ht="16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spans="1:36" ht="16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spans="1:36" ht="16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spans="1:36" ht="16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spans="1:36" ht="16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spans="1:36" ht="16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spans="1:36" ht="16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spans="1:36" ht="16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spans="1:36" ht="16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spans="1:36" ht="16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spans="1:36" ht="16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spans="1:36" ht="16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spans="1:36" ht="16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spans="1:36" ht="16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spans="1:36" ht="16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spans="1:36" ht="16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spans="1:36" ht="16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spans="1:36" ht="16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spans="1:36" ht="16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spans="1:36" ht="16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spans="1:36" ht="16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spans="1:36" ht="16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spans="1:36" ht="16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spans="1:36" ht="16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spans="1:36" ht="16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spans="1:36" ht="16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spans="1:36" ht="16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spans="1:36" ht="16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spans="1:36" ht="16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spans="1:36" ht="16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spans="1:36" ht="16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spans="1:36" ht="16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spans="1:36" ht="16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spans="1:36" ht="16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spans="1:36" ht="16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spans="1:36" ht="16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spans="1:36" ht="16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spans="1:36" ht="16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spans="1:36" ht="16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spans="1:36" ht="16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spans="1:36" ht="16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spans="1:36" ht="16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spans="1:36" ht="16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spans="1:36" ht="16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spans="1:36" ht="16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spans="1:36" ht="16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spans="1:36" ht="16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spans="1:36" ht="16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spans="1:36" ht="16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spans="1:36" ht="16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spans="1:36" ht="16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spans="1:36" ht="16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spans="1:36" ht="16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spans="1:36" ht="16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spans="1:36" ht="16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spans="1:36" ht="16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spans="1:36" ht="16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spans="1:36" ht="16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spans="1:36" ht="16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spans="1:36" ht="16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spans="1:36" ht="16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spans="1:36" ht="16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spans="1:36" ht="16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spans="1:36" ht="16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spans="1:36" ht="16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spans="1:36" ht="16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spans="1:36" ht="16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spans="1:36" ht="16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spans="1:36" ht="16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spans="1:36" ht="16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spans="1:36" ht="16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spans="1:36" ht="16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spans="1:36" ht="16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spans="1:36" ht="16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spans="1:36" ht="16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spans="1:36" ht="16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spans="1:36" ht="16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spans="1:36" ht="16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spans="1:36" ht="16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spans="1:36" ht="16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spans="1:36" ht="16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spans="1:36" ht="16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spans="1:36" ht="16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spans="1:36" ht="16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spans="1:36" ht="16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spans="1:36" ht="16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spans="1:36" ht="16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spans="1:36" ht="16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spans="1:36" ht="16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spans="1:36" ht="16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spans="1:36" ht="16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spans="1:36" ht="16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spans="1:36" ht="16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spans="1:36" ht="16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spans="1:36" ht="16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spans="1:36" ht="16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spans="1:36" ht="16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spans="1:36" ht="16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spans="1:36" ht="16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spans="1:36" ht="16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spans="1:36" ht="16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spans="1:36" ht="16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spans="1:36" ht="16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spans="1:36" ht="16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spans="1:36" ht="16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spans="1:36" ht="16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spans="1:36" ht="16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spans="1:36" ht="16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spans="1:36" ht="16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spans="1:36" ht="16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spans="1:36" ht="16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spans="1:36" ht="16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spans="1:36" ht="16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spans="1:36" ht="16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spans="1:36" ht="16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spans="1:36" ht="16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spans="1:36" ht="16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spans="1:36" ht="16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spans="1:36" ht="16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spans="1:36" ht="16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spans="1:36" ht="16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spans="1:36" ht="16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spans="1:36" ht="16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spans="1:36" ht="16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spans="1:36" ht="16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spans="1:36" ht="16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spans="1:36" ht="16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spans="1:36" ht="16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spans="1:36" ht="16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spans="1:36" ht="16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spans="1:36" ht="16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spans="1:36" ht="16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</sheetData>
  <mergeCells count="184">
    <mergeCell ref="M2:N2"/>
    <mergeCell ref="Q2:R2"/>
    <mergeCell ref="U2:W2"/>
    <mergeCell ref="C4:D4"/>
    <mergeCell ref="B5:D5"/>
    <mergeCell ref="B6:C6"/>
    <mergeCell ref="E6:F6"/>
    <mergeCell ref="H6:I6"/>
    <mergeCell ref="K6:L6"/>
    <mergeCell ref="B2:D2"/>
    <mergeCell ref="E2:F2"/>
    <mergeCell ref="I2:J2"/>
    <mergeCell ref="N6:O6"/>
    <mergeCell ref="Q6:R6"/>
    <mergeCell ref="T6:U6"/>
    <mergeCell ref="B7:D7"/>
    <mergeCell ref="B8:C8"/>
    <mergeCell ref="E8:F8"/>
    <mergeCell ref="H8:I8"/>
    <mergeCell ref="K8:L8"/>
    <mergeCell ref="N8:O8"/>
    <mergeCell ref="Q8:R8"/>
    <mergeCell ref="B11:D11"/>
    <mergeCell ref="B12:C12"/>
    <mergeCell ref="E12:F12"/>
    <mergeCell ref="H12:I12"/>
    <mergeCell ref="K12:L12"/>
    <mergeCell ref="N12:O12"/>
    <mergeCell ref="T8:U8"/>
    <mergeCell ref="B9:D9"/>
    <mergeCell ref="B10:C10"/>
    <mergeCell ref="E10:F10"/>
    <mergeCell ref="H10:I10"/>
    <mergeCell ref="K10:L10"/>
    <mergeCell ref="N10:O10"/>
    <mergeCell ref="Q10:R10"/>
    <mergeCell ref="T10:U10"/>
    <mergeCell ref="B15:D15"/>
    <mergeCell ref="B16:C16"/>
    <mergeCell ref="E16:F16"/>
    <mergeCell ref="H16:I16"/>
    <mergeCell ref="K16:L16"/>
    <mergeCell ref="N16:O16"/>
    <mergeCell ref="Q12:R12"/>
    <mergeCell ref="T12:U12"/>
    <mergeCell ref="B13:D13"/>
    <mergeCell ref="B14:C14"/>
    <mergeCell ref="E14:F14"/>
    <mergeCell ref="H14:I14"/>
    <mergeCell ref="K14:L14"/>
    <mergeCell ref="N14:O14"/>
    <mergeCell ref="Q14:R14"/>
    <mergeCell ref="T14:U14"/>
    <mergeCell ref="B19:D19"/>
    <mergeCell ref="B20:C20"/>
    <mergeCell ref="E20:F20"/>
    <mergeCell ref="H20:I20"/>
    <mergeCell ref="K20:L20"/>
    <mergeCell ref="N20:O20"/>
    <mergeCell ref="Q16:R16"/>
    <mergeCell ref="T16:U16"/>
    <mergeCell ref="B17:D17"/>
    <mergeCell ref="B18:C18"/>
    <mergeCell ref="E18:F18"/>
    <mergeCell ref="H18:I18"/>
    <mergeCell ref="K18:L18"/>
    <mergeCell ref="N18:O18"/>
    <mergeCell ref="Q18:R18"/>
    <mergeCell ref="T18:U18"/>
    <mergeCell ref="B23:D23"/>
    <mergeCell ref="B24:C24"/>
    <mergeCell ref="E24:F24"/>
    <mergeCell ref="H24:I24"/>
    <mergeCell ref="K24:L24"/>
    <mergeCell ref="N24:O24"/>
    <mergeCell ref="Q20:R20"/>
    <mergeCell ref="T20:U20"/>
    <mergeCell ref="B21:D21"/>
    <mergeCell ref="B22:C22"/>
    <mergeCell ref="E22:F22"/>
    <mergeCell ref="H22:I22"/>
    <mergeCell ref="K22:L22"/>
    <mergeCell ref="N22:O22"/>
    <mergeCell ref="Q22:R22"/>
    <mergeCell ref="T22:U22"/>
    <mergeCell ref="B27:D27"/>
    <mergeCell ref="B28:C28"/>
    <mergeCell ref="E28:F28"/>
    <mergeCell ref="H28:I28"/>
    <mergeCell ref="K28:L28"/>
    <mergeCell ref="N28:O28"/>
    <mergeCell ref="Q24:R24"/>
    <mergeCell ref="T24:U24"/>
    <mergeCell ref="B25:D25"/>
    <mergeCell ref="B26:C26"/>
    <mergeCell ref="E26:F26"/>
    <mergeCell ref="H26:I26"/>
    <mergeCell ref="K26:L26"/>
    <mergeCell ref="N26:O26"/>
    <mergeCell ref="Q26:R26"/>
    <mergeCell ref="T26:U26"/>
    <mergeCell ref="B31:D31"/>
    <mergeCell ref="B32:C32"/>
    <mergeCell ref="E32:F32"/>
    <mergeCell ref="H32:I32"/>
    <mergeCell ref="K32:L32"/>
    <mergeCell ref="N32:O32"/>
    <mergeCell ref="Q28:R28"/>
    <mergeCell ref="T28:U28"/>
    <mergeCell ref="B29:D29"/>
    <mergeCell ref="B30:C30"/>
    <mergeCell ref="E30:F30"/>
    <mergeCell ref="H30:I30"/>
    <mergeCell ref="K30:L30"/>
    <mergeCell ref="N30:O30"/>
    <mergeCell ref="Q30:R30"/>
    <mergeCell ref="T30:U30"/>
    <mergeCell ref="B35:D35"/>
    <mergeCell ref="B36:C36"/>
    <mergeCell ref="E36:F36"/>
    <mergeCell ref="H36:I36"/>
    <mergeCell ref="K36:L36"/>
    <mergeCell ref="N36:O36"/>
    <mergeCell ref="Q32:R32"/>
    <mergeCell ref="T32:U32"/>
    <mergeCell ref="B33:D33"/>
    <mergeCell ref="B34:C34"/>
    <mergeCell ref="E34:F34"/>
    <mergeCell ref="H34:I34"/>
    <mergeCell ref="K34:L34"/>
    <mergeCell ref="N34:O34"/>
    <mergeCell ref="Q34:R34"/>
    <mergeCell ref="T34:U34"/>
    <mergeCell ref="B39:D39"/>
    <mergeCell ref="B40:C40"/>
    <mergeCell ref="E40:F40"/>
    <mergeCell ref="H40:I40"/>
    <mergeCell ref="K40:L40"/>
    <mergeCell ref="N40:O40"/>
    <mergeCell ref="Q36:R36"/>
    <mergeCell ref="T36:U36"/>
    <mergeCell ref="B37:D37"/>
    <mergeCell ref="B38:C38"/>
    <mergeCell ref="E38:F38"/>
    <mergeCell ref="H38:I38"/>
    <mergeCell ref="K38:L38"/>
    <mergeCell ref="N38:O38"/>
    <mergeCell ref="Q38:R38"/>
    <mergeCell ref="T38:U38"/>
    <mergeCell ref="B43:D43"/>
    <mergeCell ref="B44:C44"/>
    <mergeCell ref="E44:F44"/>
    <mergeCell ref="H44:I44"/>
    <mergeCell ref="K44:L44"/>
    <mergeCell ref="N44:O44"/>
    <mergeCell ref="Q40:R40"/>
    <mergeCell ref="T40:U40"/>
    <mergeCell ref="B41:D41"/>
    <mergeCell ref="B42:C42"/>
    <mergeCell ref="E42:F42"/>
    <mergeCell ref="H42:I42"/>
    <mergeCell ref="K42:L42"/>
    <mergeCell ref="N42:O42"/>
    <mergeCell ref="Q42:R42"/>
    <mergeCell ref="T42:U42"/>
    <mergeCell ref="Q44:R44"/>
    <mergeCell ref="T44:U44"/>
    <mergeCell ref="B46:J46"/>
    <mergeCell ref="L46:U46"/>
    <mergeCell ref="B47:J53"/>
    <mergeCell ref="L47:S47"/>
    <mergeCell ref="T47:U47"/>
    <mergeCell ref="L48:S48"/>
    <mergeCell ref="T48:U48"/>
    <mergeCell ref="L49:S49"/>
    <mergeCell ref="L53:S53"/>
    <mergeCell ref="T53:U53"/>
    <mergeCell ref="T49:U49"/>
    <mergeCell ref="L50:S50"/>
    <mergeCell ref="T50:U50"/>
    <mergeCell ref="L51:S51"/>
    <mergeCell ref="T51:U51"/>
    <mergeCell ref="L52:S52"/>
    <mergeCell ref="T52:U52"/>
  </mergeCells>
  <conditionalFormatting sqref="E5:AI44">
    <cfRule type="cellIs" dxfId="109" priority="1" operator="equal">
      <formula>"H"</formula>
    </cfRule>
    <cfRule type="cellIs" dxfId="108" priority="6" operator="equal">
      <formula>"I"</formula>
    </cfRule>
    <cfRule type="cellIs" dxfId="107" priority="7" operator="equal">
      <formula>"T"</formula>
    </cfRule>
    <cfRule type="cellIs" dxfId="106" priority="8" operator="equal">
      <formula>"A"</formula>
    </cfRule>
  </conditionalFormatting>
  <conditionalFormatting sqref="G2 K2 O2">
    <cfRule type="cellIs" dxfId="105" priority="2" operator="equal">
      <formula>"I"</formula>
    </cfRule>
    <cfRule type="cellIs" dxfId="104" priority="9" operator="equal">
      <formula>"H"</formula>
    </cfRule>
    <cfRule type="cellIs" dxfId="103" priority="10" operator="equal">
      <formula>"T"</formula>
    </cfRule>
    <cfRule type="cellIs" dxfId="102" priority="11" operator="equal">
      <formula>"A"</formula>
    </cfRule>
  </conditionalFormatting>
  <conditionalFormatting sqref="S2">
    <cfRule type="cellIs" dxfId="101" priority="3" operator="equal">
      <formula>"H"</formula>
    </cfRule>
    <cfRule type="cellIs" dxfId="100" priority="4" operator="equal">
      <formula>"T"</formula>
    </cfRule>
    <cfRule type="cellIs" dxfId="99" priority="5" operator="equal">
      <formula>"A"</formula>
    </cfRule>
  </conditionalFormatting>
  <pageMargins left="0.4" right="0.4" top="0.4" bottom="0.4" header="0" footer="0"/>
  <pageSetup paperSize="3" scale="42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ADB31-9559-431B-9211-1126CA43B269}">
  <sheetPr codeName="Sheet5">
    <tabColor rgb="FFF4EEA2"/>
    <outlinePr summaryBelow="0" summaryRight="0"/>
    <pageSetUpPr fitToPage="1"/>
  </sheetPr>
  <dimension ref="A1:AJ650"/>
  <sheetViews>
    <sheetView showGridLines="0" topLeftCell="A10" zoomScaleNormal="100" workbookViewId="0">
      <selection activeCell="L53" sqref="L53:S53"/>
    </sheetView>
  </sheetViews>
  <sheetFormatPr defaultColWidth="14.453125" defaultRowHeight="15.75" customHeight="1" x14ac:dyDescent="0.25"/>
  <cols>
    <col min="1" max="1" width="3.36328125" style="1" customWidth="1"/>
    <col min="2" max="2" width="19.36328125" style="1" customWidth="1"/>
    <col min="3" max="4" width="14.81640625" style="1" customWidth="1"/>
    <col min="5" max="35" width="7.81640625" style="1" customWidth="1"/>
    <col min="36" max="36" width="3.36328125" style="1" customWidth="1"/>
    <col min="37" max="16384" width="14.453125" style="1"/>
  </cols>
  <sheetData>
    <row r="1" spans="1:36" ht="50" customHeight="1" thickBot="1" x14ac:dyDescent="0.4">
      <c r="A1" s="2"/>
      <c r="B1" s="20" t="s">
        <v>53</v>
      </c>
      <c r="C1" s="2"/>
      <c r="D1" s="3"/>
      <c r="E1" s="4"/>
      <c r="F1" s="2"/>
      <c r="G1" s="3"/>
      <c r="H1" s="3"/>
      <c r="I1" s="2"/>
      <c r="J1" s="2"/>
      <c r="K1" s="3"/>
      <c r="L1" s="3"/>
      <c r="M1" s="2"/>
      <c r="N1" s="2"/>
      <c r="O1" s="3"/>
      <c r="P1" s="3"/>
      <c r="R1" s="2"/>
      <c r="S1" s="3"/>
      <c r="T1" s="3"/>
      <c r="V1" s="2"/>
      <c r="X1" s="2"/>
      <c r="Y1" s="2"/>
      <c r="Z1" s="2"/>
      <c r="AA1" s="2"/>
      <c r="AB1" s="2"/>
      <c r="AC1" s="2"/>
      <c r="AD1" s="2"/>
      <c r="AE1" s="2"/>
      <c r="AF1" s="2"/>
      <c r="AH1" s="2"/>
      <c r="AI1" s="2"/>
      <c r="AJ1" s="2"/>
    </row>
    <row r="2" spans="1:36" ht="44" customHeight="1" x14ac:dyDescent="0.35">
      <c r="A2" s="2"/>
      <c r="B2" s="76" t="s">
        <v>3</v>
      </c>
      <c r="C2" s="76"/>
      <c r="D2" s="77"/>
      <c r="E2" s="42" t="s">
        <v>4</v>
      </c>
      <c r="F2" s="43"/>
      <c r="G2" s="21" t="s">
        <v>8</v>
      </c>
      <c r="I2" s="44" t="s">
        <v>5</v>
      </c>
      <c r="J2" s="45"/>
      <c r="K2" s="11" t="s">
        <v>9</v>
      </c>
      <c r="M2" s="46" t="s">
        <v>7</v>
      </c>
      <c r="N2" s="47"/>
      <c r="O2" s="12" t="s">
        <v>10</v>
      </c>
      <c r="Q2" s="46" t="s">
        <v>6</v>
      </c>
      <c r="R2" s="47"/>
      <c r="S2" s="12" t="s">
        <v>0</v>
      </c>
      <c r="T2" s="23"/>
      <c r="U2" s="40"/>
      <c r="V2" s="40"/>
      <c r="W2" s="40"/>
      <c r="X2" s="22"/>
      <c r="AC2" s="2"/>
      <c r="AD2" s="2"/>
      <c r="AE2" s="2"/>
      <c r="AF2" s="2"/>
      <c r="AG2" s="2"/>
      <c r="AH2" s="2"/>
      <c r="AI2" s="2"/>
      <c r="AJ2" s="2"/>
    </row>
    <row r="3" spans="1:36" ht="16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ht="25" customHeight="1" x14ac:dyDescent="0.35">
      <c r="A4" s="2"/>
      <c r="B4" s="25" t="s">
        <v>16</v>
      </c>
      <c r="C4" s="73" t="s">
        <v>54</v>
      </c>
      <c r="D4" s="74"/>
      <c r="E4" s="24">
        <v>1</v>
      </c>
      <c r="F4" s="24">
        <v>2</v>
      </c>
      <c r="G4" s="24">
        <v>3</v>
      </c>
      <c r="H4" s="24">
        <v>4</v>
      </c>
      <c r="I4" s="24">
        <v>5</v>
      </c>
      <c r="J4" s="24">
        <v>6</v>
      </c>
      <c r="K4" s="24">
        <v>7</v>
      </c>
      <c r="L4" s="24">
        <v>8</v>
      </c>
      <c r="M4" s="24">
        <v>9</v>
      </c>
      <c r="N4" s="24">
        <v>10</v>
      </c>
      <c r="O4" s="24">
        <v>11</v>
      </c>
      <c r="P4" s="24">
        <v>12</v>
      </c>
      <c r="Q4" s="24">
        <v>13</v>
      </c>
      <c r="R4" s="24">
        <v>14</v>
      </c>
      <c r="S4" s="24">
        <v>15</v>
      </c>
      <c r="T4" s="24">
        <v>16</v>
      </c>
      <c r="U4" s="24">
        <v>17</v>
      </c>
      <c r="V4" s="24">
        <v>18</v>
      </c>
      <c r="W4" s="24">
        <v>19</v>
      </c>
      <c r="X4" s="24">
        <v>20</v>
      </c>
      <c r="Y4" s="24">
        <v>21</v>
      </c>
      <c r="Z4" s="24">
        <v>22</v>
      </c>
      <c r="AA4" s="24">
        <v>23</v>
      </c>
      <c r="AB4" s="24">
        <v>24</v>
      </c>
      <c r="AC4" s="24">
        <v>25</v>
      </c>
      <c r="AD4" s="24">
        <v>26</v>
      </c>
      <c r="AE4" s="24">
        <v>27</v>
      </c>
      <c r="AF4" s="24">
        <v>28</v>
      </c>
      <c r="AG4" s="24">
        <v>29</v>
      </c>
      <c r="AH4" s="24">
        <v>30</v>
      </c>
      <c r="AI4" s="2"/>
    </row>
    <row r="5" spans="1:36" ht="22" customHeight="1" x14ac:dyDescent="0.35">
      <c r="A5" s="2"/>
      <c r="B5" s="75" t="s">
        <v>22</v>
      </c>
      <c r="C5" s="75"/>
      <c r="D5" s="75"/>
      <c r="E5" s="16" t="s">
        <v>10</v>
      </c>
      <c r="F5" s="16" t="s">
        <v>0</v>
      </c>
      <c r="G5" s="17" t="s">
        <v>8</v>
      </c>
      <c r="H5" s="17" t="s">
        <v>8</v>
      </c>
      <c r="I5" s="17" t="s">
        <v>8</v>
      </c>
      <c r="J5" s="17" t="s">
        <v>8</v>
      </c>
      <c r="K5" s="17" t="s">
        <v>8</v>
      </c>
      <c r="L5" s="19" t="s">
        <v>8</v>
      </c>
      <c r="M5" s="19" t="s">
        <v>9</v>
      </c>
      <c r="N5" s="18" t="s">
        <v>9</v>
      </c>
      <c r="O5" s="18" t="s">
        <v>8</v>
      </c>
      <c r="P5" s="18" t="s">
        <v>9</v>
      </c>
      <c r="Q5" s="18" t="s">
        <v>8</v>
      </c>
      <c r="R5" s="18" t="s">
        <v>8</v>
      </c>
      <c r="S5" s="18" t="s">
        <v>8</v>
      </c>
      <c r="T5" s="18" t="s">
        <v>8</v>
      </c>
      <c r="U5" s="18" t="s">
        <v>9</v>
      </c>
      <c r="V5" s="18" t="s">
        <v>8</v>
      </c>
      <c r="W5" s="18" t="s">
        <v>8</v>
      </c>
      <c r="X5" s="18" t="s">
        <v>8</v>
      </c>
      <c r="Y5" s="18" t="s">
        <v>9</v>
      </c>
      <c r="Z5" s="18" t="s">
        <v>0</v>
      </c>
      <c r="AA5" s="18" t="s">
        <v>0</v>
      </c>
      <c r="AB5" s="18" t="s">
        <v>8</v>
      </c>
      <c r="AC5" s="18" t="s">
        <v>8</v>
      </c>
      <c r="AD5" s="18" t="s">
        <v>8</v>
      </c>
      <c r="AE5" s="18" t="s">
        <v>8</v>
      </c>
      <c r="AF5" s="18" t="s">
        <v>8</v>
      </c>
      <c r="AG5" s="18" t="s">
        <v>8</v>
      </c>
      <c r="AH5" s="18" t="s">
        <v>0</v>
      </c>
      <c r="AI5" s="2"/>
    </row>
    <row r="6" spans="1:36" s="8" customFormat="1" ht="22" customHeight="1" thickBot="1" x14ac:dyDescent="0.3">
      <c r="A6" s="6"/>
      <c r="B6" s="65" t="s">
        <v>18</v>
      </c>
      <c r="C6" s="66"/>
      <c r="D6" s="7" t="s">
        <v>17</v>
      </c>
      <c r="E6" s="67" t="s">
        <v>11</v>
      </c>
      <c r="F6" s="68"/>
      <c r="G6" s="13">
        <f>COUNTIF(E5:AH5,"H")</f>
        <v>20</v>
      </c>
      <c r="H6" s="67" t="s">
        <v>12</v>
      </c>
      <c r="I6" s="68"/>
      <c r="J6" s="13">
        <f>COUNTIF(E5:AH5,"T")</f>
        <v>5</v>
      </c>
      <c r="K6" s="67" t="s">
        <v>13</v>
      </c>
      <c r="L6" s="68"/>
      <c r="M6" s="13">
        <f>COUNTIF(E5:AH5,"A") + COUNTIF(E5:AH5,"I")</f>
        <v>5</v>
      </c>
      <c r="N6" s="67" t="s">
        <v>14</v>
      </c>
      <c r="O6" s="68"/>
      <c r="P6" s="13">
        <f>IF((G6+J6+M6)=0,0,(G6+J6)/(G6+J6+M6)*100)</f>
        <v>83.333333333333343</v>
      </c>
      <c r="Q6" s="67"/>
      <c r="R6" s="68"/>
      <c r="S6" s="13"/>
      <c r="T6" s="67"/>
      <c r="U6" s="68"/>
      <c r="V6" s="14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6"/>
    </row>
    <row r="7" spans="1:36" ht="22" customHeight="1" x14ac:dyDescent="0.25">
      <c r="A7" s="5"/>
      <c r="B7" s="72" t="s">
        <v>23</v>
      </c>
      <c r="C7" s="72"/>
      <c r="D7" s="72"/>
      <c r="E7" s="16" t="s">
        <v>8</v>
      </c>
      <c r="F7" s="16" t="s">
        <v>0</v>
      </c>
      <c r="G7" s="17" t="s">
        <v>8</v>
      </c>
      <c r="H7" s="17" t="s">
        <v>8</v>
      </c>
      <c r="I7" s="17" t="s">
        <v>8</v>
      </c>
      <c r="J7" s="17" t="s">
        <v>8</v>
      </c>
      <c r="K7" s="17" t="s">
        <v>8</v>
      </c>
      <c r="L7" s="19" t="s">
        <v>8</v>
      </c>
      <c r="M7" s="19" t="s">
        <v>9</v>
      </c>
      <c r="N7" s="18" t="s">
        <v>9</v>
      </c>
      <c r="O7" s="18" t="s">
        <v>8</v>
      </c>
      <c r="P7" s="18" t="s">
        <v>9</v>
      </c>
      <c r="Q7" s="18" t="s">
        <v>8</v>
      </c>
      <c r="R7" s="18" t="s">
        <v>8</v>
      </c>
      <c r="S7" s="18" t="s">
        <v>8</v>
      </c>
      <c r="T7" s="18" t="s">
        <v>8</v>
      </c>
      <c r="U7" s="18" t="s">
        <v>9</v>
      </c>
      <c r="V7" s="18" t="s">
        <v>8</v>
      </c>
      <c r="W7" s="18" t="s">
        <v>8</v>
      </c>
      <c r="X7" s="18" t="s">
        <v>8</v>
      </c>
      <c r="Y7" s="18" t="s">
        <v>9</v>
      </c>
      <c r="Z7" s="18" t="s">
        <v>0</v>
      </c>
      <c r="AA7" s="18" t="s">
        <v>0</v>
      </c>
      <c r="AB7" s="18" t="s">
        <v>8</v>
      </c>
      <c r="AC7" s="18" t="s">
        <v>8</v>
      </c>
      <c r="AD7" s="18" t="s">
        <v>8</v>
      </c>
      <c r="AE7" s="18" t="s">
        <v>8</v>
      </c>
      <c r="AF7" s="18" t="s">
        <v>8</v>
      </c>
      <c r="AG7" s="18" t="s">
        <v>8</v>
      </c>
      <c r="AH7" s="18" t="s">
        <v>0</v>
      </c>
      <c r="AI7" s="5"/>
    </row>
    <row r="8" spans="1:36" s="8" customFormat="1" ht="22" customHeight="1" thickBot="1" x14ac:dyDescent="0.3">
      <c r="A8" s="6"/>
      <c r="B8" s="65" t="s">
        <v>18</v>
      </c>
      <c r="C8" s="66"/>
      <c r="D8" s="7" t="s">
        <v>17</v>
      </c>
      <c r="E8" s="67" t="s">
        <v>11</v>
      </c>
      <c r="F8" s="68"/>
      <c r="G8" s="13">
        <f>COUNTIF(E7:AH7,"H")</f>
        <v>21</v>
      </c>
      <c r="H8" s="67" t="s">
        <v>12</v>
      </c>
      <c r="I8" s="68"/>
      <c r="J8" s="13">
        <f>COUNTIF(E7:AH7,"T")</f>
        <v>5</v>
      </c>
      <c r="K8" s="67" t="s">
        <v>13</v>
      </c>
      <c r="L8" s="68"/>
      <c r="M8" s="13">
        <f>COUNTIF(E7:AH7,"A") + COUNTIF(E7:AH7,"I")</f>
        <v>4</v>
      </c>
      <c r="N8" s="67" t="s">
        <v>14</v>
      </c>
      <c r="O8" s="68"/>
      <c r="P8" s="13">
        <f>IF((G8+J8+M8)=0,0,(G8+J8)/(G8+J8+M8)*100)</f>
        <v>86.666666666666671</v>
      </c>
      <c r="Q8" s="67"/>
      <c r="R8" s="68"/>
      <c r="S8" s="13"/>
      <c r="T8" s="67"/>
      <c r="U8" s="68"/>
      <c r="V8" s="14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6"/>
    </row>
    <row r="9" spans="1:36" ht="22" customHeight="1" x14ac:dyDescent="0.35">
      <c r="A9" s="2"/>
      <c r="B9" s="72" t="s">
        <v>24</v>
      </c>
      <c r="C9" s="72"/>
      <c r="D9" s="72"/>
      <c r="E9" s="16" t="s">
        <v>8</v>
      </c>
      <c r="F9" s="16" t="s">
        <v>8</v>
      </c>
      <c r="G9" s="17" t="s">
        <v>8</v>
      </c>
      <c r="H9" s="17" t="s">
        <v>8</v>
      </c>
      <c r="I9" s="17" t="s">
        <v>0</v>
      </c>
      <c r="J9" s="17" t="s">
        <v>8</v>
      </c>
      <c r="K9" s="17" t="s">
        <v>9</v>
      </c>
      <c r="L9" s="19" t="s">
        <v>8</v>
      </c>
      <c r="M9" s="19" t="s">
        <v>9</v>
      </c>
      <c r="N9" s="18" t="s">
        <v>8</v>
      </c>
      <c r="O9" s="18" t="s">
        <v>8</v>
      </c>
      <c r="P9" s="18" t="s">
        <v>9</v>
      </c>
      <c r="Q9" s="18" t="s">
        <v>8</v>
      </c>
      <c r="R9" s="18" t="s">
        <v>8</v>
      </c>
      <c r="S9" s="18" t="s">
        <v>9</v>
      </c>
      <c r="T9" s="18" t="s">
        <v>9</v>
      </c>
      <c r="U9" s="18" t="s">
        <v>9</v>
      </c>
      <c r="V9" s="18" t="s">
        <v>0</v>
      </c>
      <c r="W9" s="18" t="s">
        <v>8</v>
      </c>
      <c r="X9" s="18" t="s">
        <v>8</v>
      </c>
      <c r="Y9" s="18" t="s">
        <v>9</v>
      </c>
      <c r="Z9" s="18" t="s">
        <v>0</v>
      </c>
      <c r="AA9" s="18" t="s">
        <v>0</v>
      </c>
      <c r="AB9" s="18" t="s">
        <v>8</v>
      </c>
      <c r="AC9" s="18" t="s">
        <v>8</v>
      </c>
      <c r="AD9" s="18" t="s">
        <v>8</v>
      </c>
      <c r="AE9" s="18" t="s">
        <v>8</v>
      </c>
      <c r="AF9" s="18" t="s">
        <v>8</v>
      </c>
      <c r="AG9" s="18" t="s">
        <v>8</v>
      </c>
      <c r="AH9" s="18" t="s">
        <v>0</v>
      </c>
      <c r="AI9" s="2"/>
    </row>
    <row r="10" spans="1:36" s="8" customFormat="1" ht="22" customHeight="1" thickBot="1" x14ac:dyDescent="0.3">
      <c r="A10" s="6"/>
      <c r="B10" s="65" t="s">
        <v>18</v>
      </c>
      <c r="C10" s="66"/>
      <c r="D10" s="7" t="s">
        <v>17</v>
      </c>
      <c r="E10" s="67" t="s">
        <v>11</v>
      </c>
      <c r="F10" s="68"/>
      <c r="G10" s="13">
        <f>COUNTIF(E9:AH9,"H")</f>
        <v>18</v>
      </c>
      <c r="H10" s="67" t="s">
        <v>12</v>
      </c>
      <c r="I10" s="68"/>
      <c r="J10" s="13">
        <f>COUNTIF(E9:AH9,"T")</f>
        <v>7</v>
      </c>
      <c r="K10" s="67" t="s">
        <v>13</v>
      </c>
      <c r="L10" s="68"/>
      <c r="M10" s="13">
        <f>COUNTIF(E9:AH9,"A") + COUNTIF(E9:AH9,"I")</f>
        <v>5</v>
      </c>
      <c r="N10" s="67" t="s">
        <v>14</v>
      </c>
      <c r="O10" s="68"/>
      <c r="P10" s="13">
        <f>IF((G10+J10+M10)=0,0,(G10+J10)/(G10+J10+M10)*100)</f>
        <v>83.333333333333343</v>
      </c>
      <c r="Q10" s="67"/>
      <c r="R10" s="68"/>
      <c r="S10" s="13"/>
      <c r="T10" s="67"/>
      <c r="U10" s="68"/>
      <c r="V10" s="14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6"/>
    </row>
    <row r="11" spans="1:36" s="10" customFormat="1" ht="22" customHeight="1" x14ac:dyDescent="0.25">
      <c r="A11" s="9"/>
      <c r="B11" s="72" t="s">
        <v>25</v>
      </c>
      <c r="C11" s="72"/>
      <c r="D11" s="72"/>
      <c r="E11" s="16" t="s">
        <v>8</v>
      </c>
      <c r="F11" s="16" t="s">
        <v>0</v>
      </c>
      <c r="G11" s="17" t="s">
        <v>8</v>
      </c>
      <c r="H11" s="17" t="s">
        <v>8</v>
      </c>
      <c r="I11" s="17" t="s">
        <v>8</v>
      </c>
      <c r="J11" s="17" t="s">
        <v>8</v>
      </c>
      <c r="K11" s="17" t="s">
        <v>8</v>
      </c>
      <c r="L11" s="19" t="s">
        <v>8</v>
      </c>
      <c r="M11" s="19" t="s">
        <v>8</v>
      </c>
      <c r="N11" s="18" t="s">
        <v>8</v>
      </c>
      <c r="O11" s="18" t="s">
        <v>8</v>
      </c>
      <c r="P11" s="18" t="s">
        <v>8</v>
      </c>
      <c r="Q11" s="18" t="s">
        <v>8</v>
      </c>
      <c r="R11" s="18" t="s">
        <v>8</v>
      </c>
      <c r="S11" s="18" t="s">
        <v>8</v>
      </c>
      <c r="T11" s="18" t="s">
        <v>8</v>
      </c>
      <c r="U11" s="18" t="s">
        <v>9</v>
      </c>
      <c r="V11" s="18" t="s">
        <v>8</v>
      </c>
      <c r="W11" s="18" t="s">
        <v>8</v>
      </c>
      <c r="X11" s="18" t="s">
        <v>8</v>
      </c>
      <c r="Y11" s="18" t="s">
        <v>8</v>
      </c>
      <c r="Z11" s="18" t="s">
        <v>8</v>
      </c>
      <c r="AA11" s="18" t="s">
        <v>8</v>
      </c>
      <c r="AB11" s="18" t="s">
        <v>8</v>
      </c>
      <c r="AC11" s="18" t="s">
        <v>8</v>
      </c>
      <c r="AD11" s="18" t="s">
        <v>8</v>
      </c>
      <c r="AE11" s="18" t="s">
        <v>8</v>
      </c>
      <c r="AF11" s="18" t="s">
        <v>8</v>
      </c>
      <c r="AG11" s="18" t="s">
        <v>8</v>
      </c>
      <c r="AH11" s="18" t="s">
        <v>0</v>
      </c>
      <c r="AI11" s="9"/>
    </row>
    <row r="12" spans="1:36" s="8" customFormat="1" ht="22" customHeight="1" thickBot="1" x14ac:dyDescent="0.3">
      <c r="A12" s="6"/>
      <c r="B12" s="65" t="s">
        <v>18</v>
      </c>
      <c r="C12" s="66"/>
      <c r="D12" s="7" t="s">
        <v>17</v>
      </c>
      <c r="E12" s="67" t="s">
        <v>11</v>
      </c>
      <c r="F12" s="68"/>
      <c r="G12" s="13">
        <f>COUNTIF(E11:AH11,"H")</f>
        <v>27</v>
      </c>
      <c r="H12" s="67" t="s">
        <v>12</v>
      </c>
      <c r="I12" s="68"/>
      <c r="J12" s="13">
        <f>COUNTIF(E11:AH11,"T")</f>
        <v>1</v>
      </c>
      <c r="K12" s="67" t="s">
        <v>13</v>
      </c>
      <c r="L12" s="68"/>
      <c r="M12" s="13">
        <f>COUNTIF(E11:AH11,"A") + COUNTIF(E11:AH11,"I")</f>
        <v>2</v>
      </c>
      <c r="N12" s="67" t="s">
        <v>14</v>
      </c>
      <c r="O12" s="68"/>
      <c r="P12" s="13">
        <f>IF((G12+J12+M12)=0,0,(G12+J12)/(G12+J12+M12)*100)</f>
        <v>93.333333333333329</v>
      </c>
      <c r="Q12" s="67"/>
      <c r="R12" s="68"/>
      <c r="S12" s="13"/>
      <c r="T12" s="67"/>
      <c r="U12" s="68"/>
      <c r="V12" s="14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6"/>
    </row>
    <row r="13" spans="1:36" s="10" customFormat="1" ht="22" customHeight="1" x14ac:dyDescent="0.25">
      <c r="A13" s="9"/>
      <c r="B13" s="72" t="s">
        <v>26</v>
      </c>
      <c r="C13" s="72"/>
      <c r="D13" s="72"/>
      <c r="E13" s="16" t="s">
        <v>8</v>
      </c>
      <c r="F13" s="16" t="s">
        <v>8</v>
      </c>
      <c r="G13" s="17" t="s">
        <v>8</v>
      </c>
      <c r="H13" s="17" t="s">
        <v>8</v>
      </c>
      <c r="I13" s="17" t="s">
        <v>8</v>
      </c>
      <c r="J13" s="17" t="s">
        <v>0</v>
      </c>
      <c r="K13" s="17" t="s">
        <v>8</v>
      </c>
      <c r="L13" s="19" t="s">
        <v>8</v>
      </c>
      <c r="M13" s="19" t="s">
        <v>8</v>
      </c>
      <c r="N13" s="18" t="s">
        <v>8</v>
      </c>
      <c r="O13" s="18" t="s">
        <v>8</v>
      </c>
      <c r="P13" s="18" t="s">
        <v>9</v>
      </c>
      <c r="Q13" s="18" t="s">
        <v>8</v>
      </c>
      <c r="R13" s="18" t="s">
        <v>8</v>
      </c>
      <c r="S13" s="18" t="s">
        <v>8</v>
      </c>
      <c r="T13" s="18" t="s">
        <v>0</v>
      </c>
      <c r="U13" s="18" t="s">
        <v>9</v>
      </c>
      <c r="V13" s="18" t="s">
        <v>8</v>
      </c>
      <c r="W13" s="18" t="s">
        <v>8</v>
      </c>
      <c r="X13" s="18" t="s">
        <v>0</v>
      </c>
      <c r="Y13" s="18" t="s">
        <v>9</v>
      </c>
      <c r="Z13" s="18" t="s">
        <v>8</v>
      </c>
      <c r="AA13" s="18" t="s">
        <v>8</v>
      </c>
      <c r="AB13" s="18" t="s">
        <v>8</v>
      </c>
      <c r="AC13" s="18" t="s">
        <v>8</v>
      </c>
      <c r="AD13" s="18" t="s">
        <v>8</v>
      </c>
      <c r="AE13" s="18" t="s">
        <v>8</v>
      </c>
      <c r="AF13" s="18" t="s">
        <v>8</v>
      </c>
      <c r="AG13" s="18" t="s">
        <v>8</v>
      </c>
      <c r="AH13" s="18" t="s">
        <v>0</v>
      </c>
      <c r="AI13" s="9"/>
    </row>
    <row r="14" spans="1:36" s="8" customFormat="1" ht="22" customHeight="1" thickBot="1" x14ac:dyDescent="0.3">
      <c r="A14" s="6"/>
      <c r="B14" s="65" t="s">
        <v>18</v>
      </c>
      <c r="C14" s="66"/>
      <c r="D14" s="7" t="s">
        <v>17</v>
      </c>
      <c r="E14" s="67" t="s">
        <v>11</v>
      </c>
      <c r="F14" s="68"/>
      <c r="G14" s="13">
        <f>COUNTIF(E13:AH13,"H")</f>
        <v>23</v>
      </c>
      <c r="H14" s="67" t="s">
        <v>12</v>
      </c>
      <c r="I14" s="68"/>
      <c r="J14" s="13">
        <f>COUNTIF(E13:AH13,"T")</f>
        <v>3</v>
      </c>
      <c r="K14" s="67" t="s">
        <v>13</v>
      </c>
      <c r="L14" s="68"/>
      <c r="M14" s="13">
        <f>COUNTIF(E13:AH13,"A") + COUNTIF(E13:AH13,"I")</f>
        <v>4</v>
      </c>
      <c r="N14" s="67" t="s">
        <v>14</v>
      </c>
      <c r="O14" s="68"/>
      <c r="P14" s="13">
        <f>IF((G14+J14+M14)=0,0,(G14+J14)/(G14+J14+M14)*100)</f>
        <v>86.666666666666671</v>
      </c>
      <c r="Q14" s="67"/>
      <c r="R14" s="68"/>
      <c r="S14" s="13"/>
      <c r="T14" s="67"/>
      <c r="U14" s="68"/>
      <c r="V14" s="14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6"/>
    </row>
    <row r="15" spans="1:36" s="10" customFormat="1" ht="22" customHeight="1" x14ac:dyDescent="0.25">
      <c r="A15" s="9"/>
      <c r="B15" s="72" t="s">
        <v>27</v>
      </c>
      <c r="C15" s="72"/>
      <c r="D15" s="72"/>
      <c r="E15" s="16" t="s">
        <v>8</v>
      </c>
      <c r="F15" s="16" t="s">
        <v>0</v>
      </c>
      <c r="G15" s="17" t="s">
        <v>8</v>
      </c>
      <c r="H15" s="17" t="s">
        <v>8</v>
      </c>
      <c r="I15" s="17" t="s">
        <v>8</v>
      </c>
      <c r="J15" s="17" t="s">
        <v>8</v>
      </c>
      <c r="K15" s="17" t="s">
        <v>8</v>
      </c>
      <c r="L15" s="19" t="s">
        <v>8</v>
      </c>
      <c r="M15" s="19" t="s">
        <v>9</v>
      </c>
      <c r="N15" s="18" t="s">
        <v>9</v>
      </c>
      <c r="O15" s="18" t="s">
        <v>8</v>
      </c>
      <c r="P15" s="18" t="s">
        <v>9</v>
      </c>
      <c r="Q15" s="18" t="s">
        <v>8</v>
      </c>
      <c r="R15" s="18" t="s">
        <v>8</v>
      </c>
      <c r="S15" s="18" t="s">
        <v>8</v>
      </c>
      <c r="T15" s="18" t="s">
        <v>8</v>
      </c>
      <c r="U15" s="18" t="s">
        <v>9</v>
      </c>
      <c r="V15" s="18" t="s">
        <v>8</v>
      </c>
      <c r="W15" s="18" t="s">
        <v>8</v>
      </c>
      <c r="X15" s="18" t="s">
        <v>8</v>
      </c>
      <c r="Y15" s="18" t="s">
        <v>9</v>
      </c>
      <c r="Z15" s="18" t="s">
        <v>0</v>
      </c>
      <c r="AA15" s="18" t="s">
        <v>0</v>
      </c>
      <c r="AB15" s="18" t="s">
        <v>8</v>
      </c>
      <c r="AC15" s="18" t="s">
        <v>8</v>
      </c>
      <c r="AD15" s="18" t="s">
        <v>8</v>
      </c>
      <c r="AE15" s="18" t="s">
        <v>8</v>
      </c>
      <c r="AF15" s="18" t="s">
        <v>8</v>
      </c>
      <c r="AG15" s="18" t="s">
        <v>8</v>
      </c>
      <c r="AH15" s="18" t="s">
        <v>0</v>
      </c>
      <c r="AI15" s="9"/>
    </row>
    <row r="16" spans="1:36" s="8" customFormat="1" ht="22" customHeight="1" thickBot="1" x14ac:dyDescent="0.3">
      <c r="A16" s="6"/>
      <c r="B16" s="65" t="s">
        <v>18</v>
      </c>
      <c r="C16" s="66"/>
      <c r="D16" s="7" t="s">
        <v>17</v>
      </c>
      <c r="E16" s="67" t="s">
        <v>11</v>
      </c>
      <c r="F16" s="68"/>
      <c r="G16" s="13">
        <f>COUNTIF(E15:AH15,"H")</f>
        <v>21</v>
      </c>
      <c r="H16" s="67" t="s">
        <v>12</v>
      </c>
      <c r="I16" s="68"/>
      <c r="J16" s="13">
        <f>COUNTIF(E15:AH15,"T")</f>
        <v>5</v>
      </c>
      <c r="K16" s="67" t="s">
        <v>13</v>
      </c>
      <c r="L16" s="68"/>
      <c r="M16" s="13">
        <f>COUNTIF(E15:AH15,"A") + COUNTIF(E15:AH15,"I")</f>
        <v>4</v>
      </c>
      <c r="N16" s="67" t="s">
        <v>14</v>
      </c>
      <c r="O16" s="68"/>
      <c r="P16" s="13">
        <f>IF((G16+J16+M16)=0,0,(G16+J16)/(G16+J16+M16)*100)</f>
        <v>86.666666666666671</v>
      </c>
      <c r="Q16" s="67"/>
      <c r="R16" s="68"/>
      <c r="S16" s="13"/>
      <c r="T16" s="67"/>
      <c r="U16" s="68"/>
      <c r="V16" s="14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6"/>
    </row>
    <row r="17" spans="1:35" s="10" customFormat="1" ht="22" customHeight="1" x14ac:dyDescent="0.25">
      <c r="A17" s="9"/>
      <c r="B17" s="72" t="s">
        <v>28</v>
      </c>
      <c r="C17" s="72"/>
      <c r="D17" s="72"/>
      <c r="E17" s="16" t="s">
        <v>8</v>
      </c>
      <c r="F17" s="16" t="s">
        <v>0</v>
      </c>
      <c r="G17" s="17" t="s">
        <v>8</v>
      </c>
      <c r="H17" s="17" t="s">
        <v>8</v>
      </c>
      <c r="I17" s="17" t="s">
        <v>8</v>
      </c>
      <c r="J17" s="17" t="s">
        <v>8</v>
      </c>
      <c r="K17" s="17" t="s">
        <v>8</v>
      </c>
      <c r="L17" s="19" t="s">
        <v>8</v>
      </c>
      <c r="M17" s="19" t="s">
        <v>9</v>
      </c>
      <c r="N17" s="18" t="s">
        <v>9</v>
      </c>
      <c r="O17" s="18" t="s">
        <v>8</v>
      </c>
      <c r="P17" s="18" t="s">
        <v>9</v>
      </c>
      <c r="Q17" s="18" t="s">
        <v>8</v>
      </c>
      <c r="R17" s="18" t="s">
        <v>8</v>
      </c>
      <c r="S17" s="18" t="s">
        <v>8</v>
      </c>
      <c r="T17" s="18" t="s">
        <v>8</v>
      </c>
      <c r="U17" s="18" t="s">
        <v>9</v>
      </c>
      <c r="V17" s="18" t="s">
        <v>8</v>
      </c>
      <c r="W17" s="18" t="s">
        <v>8</v>
      </c>
      <c r="X17" s="18" t="s">
        <v>8</v>
      </c>
      <c r="Y17" s="18" t="s">
        <v>9</v>
      </c>
      <c r="Z17" s="18" t="s">
        <v>0</v>
      </c>
      <c r="AA17" s="18" t="s">
        <v>0</v>
      </c>
      <c r="AB17" s="18" t="s">
        <v>8</v>
      </c>
      <c r="AC17" s="18" t="s">
        <v>8</v>
      </c>
      <c r="AD17" s="18" t="s">
        <v>8</v>
      </c>
      <c r="AE17" s="18" t="s">
        <v>8</v>
      </c>
      <c r="AF17" s="18" t="s">
        <v>8</v>
      </c>
      <c r="AG17" s="18" t="s">
        <v>8</v>
      </c>
      <c r="AH17" s="18" t="s">
        <v>0</v>
      </c>
      <c r="AI17" s="9"/>
    </row>
    <row r="18" spans="1:35" s="8" customFormat="1" ht="22" customHeight="1" thickBot="1" x14ac:dyDescent="0.3">
      <c r="A18" s="6"/>
      <c r="B18" s="65" t="s">
        <v>18</v>
      </c>
      <c r="C18" s="66"/>
      <c r="D18" s="7" t="s">
        <v>17</v>
      </c>
      <c r="E18" s="67" t="s">
        <v>11</v>
      </c>
      <c r="F18" s="68"/>
      <c r="G18" s="13">
        <f>COUNTIF(E17:AH17,"H")</f>
        <v>21</v>
      </c>
      <c r="H18" s="67" t="s">
        <v>12</v>
      </c>
      <c r="I18" s="68"/>
      <c r="J18" s="13">
        <f>COUNTIF(E17:AH17,"T")</f>
        <v>5</v>
      </c>
      <c r="K18" s="67" t="s">
        <v>13</v>
      </c>
      <c r="L18" s="68"/>
      <c r="M18" s="13">
        <f>COUNTIF(E17:AH17,"A") + COUNTIF(E17:AH17,"I")</f>
        <v>4</v>
      </c>
      <c r="N18" s="67" t="s">
        <v>14</v>
      </c>
      <c r="O18" s="68"/>
      <c r="P18" s="13">
        <f>IF((G18+J18+M18)=0,0,(G18+J18)/(G18+J18+M18)*100)</f>
        <v>86.666666666666671</v>
      </c>
      <c r="Q18" s="67"/>
      <c r="R18" s="68"/>
      <c r="S18" s="13"/>
      <c r="T18" s="67"/>
      <c r="U18" s="68"/>
      <c r="V18" s="14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6"/>
    </row>
    <row r="19" spans="1:35" s="10" customFormat="1" ht="22" customHeight="1" x14ac:dyDescent="0.25">
      <c r="A19" s="9"/>
      <c r="B19" s="72" t="s">
        <v>29</v>
      </c>
      <c r="C19" s="72"/>
      <c r="D19" s="72"/>
      <c r="E19" s="16" t="s">
        <v>8</v>
      </c>
      <c r="F19" s="16" t="s">
        <v>0</v>
      </c>
      <c r="G19" s="17" t="s">
        <v>8</v>
      </c>
      <c r="H19" s="17" t="s">
        <v>8</v>
      </c>
      <c r="I19" s="17" t="s">
        <v>8</v>
      </c>
      <c r="J19" s="17" t="s">
        <v>8</v>
      </c>
      <c r="K19" s="17" t="s">
        <v>8</v>
      </c>
      <c r="L19" s="19" t="s">
        <v>8</v>
      </c>
      <c r="M19" s="19" t="s">
        <v>9</v>
      </c>
      <c r="N19" s="18" t="s">
        <v>9</v>
      </c>
      <c r="O19" s="18" t="s">
        <v>8</v>
      </c>
      <c r="P19" s="18" t="s">
        <v>9</v>
      </c>
      <c r="Q19" s="18" t="s">
        <v>8</v>
      </c>
      <c r="R19" s="18" t="s">
        <v>8</v>
      </c>
      <c r="S19" s="18" t="s">
        <v>8</v>
      </c>
      <c r="T19" s="18" t="s">
        <v>8</v>
      </c>
      <c r="U19" s="18" t="s">
        <v>9</v>
      </c>
      <c r="V19" s="18" t="s">
        <v>8</v>
      </c>
      <c r="W19" s="18" t="s">
        <v>8</v>
      </c>
      <c r="X19" s="18" t="s">
        <v>8</v>
      </c>
      <c r="Y19" s="18" t="s">
        <v>9</v>
      </c>
      <c r="Z19" s="18" t="s">
        <v>0</v>
      </c>
      <c r="AA19" s="18" t="s">
        <v>0</v>
      </c>
      <c r="AB19" s="18" t="s">
        <v>8</v>
      </c>
      <c r="AC19" s="18" t="s">
        <v>8</v>
      </c>
      <c r="AD19" s="18" t="s">
        <v>8</v>
      </c>
      <c r="AE19" s="18" t="s">
        <v>8</v>
      </c>
      <c r="AF19" s="18" t="s">
        <v>8</v>
      </c>
      <c r="AG19" s="18" t="s">
        <v>8</v>
      </c>
      <c r="AH19" s="18" t="s">
        <v>0</v>
      </c>
      <c r="AI19" s="9"/>
    </row>
    <row r="20" spans="1:35" s="8" customFormat="1" ht="22" customHeight="1" thickBot="1" x14ac:dyDescent="0.3">
      <c r="A20" s="6"/>
      <c r="B20" s="65" t="s">
        <v>18</v>
      </c>
      <c r="C20" s="66"/>
      <c r="D20" s="7" t="s">
        <v>17</v>
      </c>
      <c r="E20" s="67" t="s">
        <v>11</v>
      </c>
      <c r="F20" s="68"/>
      <c r="G20" s="13">
        <f>COUNTIF(E19:AH19,"H")</f>
        <v>21</v>
      </c>
      <c r="H20" s="67" t="s">
        <v>12</v>
      </c>
      <c r="I20" s="68"/>
      <c r="J20" s="13">
        <f>COUNTIF(E19:AH19,"T")</f>
        <v>5</v>
      </c>
      <c r="K20" s="67" t="s">
        <v>13</v>
      </c>
      <c r="L20" s="68"/>
      <c r="M20" s="13">
        <f>COUNTIF(E19:AH19,"A") + COUNTIF(E19:AH19,"I")</f>
        <v>4</v>
      </c>
      <c r="N20" s="67" t="s">
        <v>14</v>
      </c>
      <c r="O20" s="68"/>
      <c r="P20" s="13">
        <f>IF((G20+J20+M20)=0,0,(G20+J20)/(G20+J20+M20)*100)</f>
        <v>86.666666666666671</v>
      </c>
      <c r="Q20" s="67"/>
      <c r="R20" s="68"/>
      <c r="S20" s="13"/>
      <c r="T20" s="67"/>
      <c r="U20" s="68"/>
      <c r="V20" s="14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6"/>
    </row>
    <row r="21" spans="1:35" ht="22" customHeight="1" x14ac:dyDescent="0.35">
      <c r="A21" s="2"/>
      <c r="B21" s="72" t="s">
        <v>30</v>
      </c>
      <c r="C21" s="72"/>
      <c r="D21" s="72"/>
      <c r="E21" s="16" t="s">
        <v>8</v>
      </c>
      <c r="F21" s="16" t="s">
        <v>0</v>
      </c>
      <c r="G21" s="17" t="s">
        <v>8</v>
      </c>
      <c r="H21" s="17" t="s">
        <v>8</v>
      </c>
      <c r="I21" s="17" t="s">
        <v>8</v>
      </c>
      <c r="J21" s="17" t="s">
        <v>8</v>
      </c>
      <c r="K21" s="17" t="s">
        <v>8</v>
      </c>
      <c r="L21" s="19" t="s">
        <v>8</v>
      </c>
      <c r="M21" s="19" t="s">
        <v>9</v>
      </c>
      <c r="N21" s="18" t="s">
        <v>9</v>
      </c>
      <c r="O21" s="18" t="s">
        <v>8</v>
      </c>
      <c r="P21" s="18" t="s">
        <v>9</v>
      </c>
      <c r="Q21" s="18" t="s">
        <v>8</v>
      </c>
      <c r="R21" s="18" t="s">
        <v>8</v>
      </c>
      <c r="S21" s="18" t="s">
        <v>8</v>
      </c>
      <c r="T21" s="18" t="s">
        <v>8</v>
      </c>
      <c r="U21" s="18" t="s">
        <v>9</v>
      </c>
      <c r="V21" s="18" t="s">
        <v>8</v>
      </c>
      <c r="W21" s="18" t="s">
        <v>8</v>
      </c>
      <c r="X21" s="18" t="s">
        <v>8</v>
      </c>
      <c r="Y21" s="18" t="s">
        <v>9</v>
      </c>
      <c r="Z21" s="18" t="s">
        <v>0</v>
      </c>
      <c r="AA21" s="18" t="s">
        <v>0</v>
      </c>
      <c r="AB21" s="18" t="s">
        <v>8</v>
      </c>
      <c r="AC21" s="18" t="s">
        <v>8</v>
      </c>
      <c r="AD21" s="18" t="s">
        <v>8</v>
      </c>
      <c r="AE21" s="18" t="s">
        <v>8</v>
      </c>
      <c r="AF21" s="18" t="s">
        <v>8</v>
      </c>
      <c r="AG21" s="18" t="s">
        <v>8</v>
      </c>
      <c r="AH21" s="18" t="s">
        <v>0</v>
      </c>
      <c r="AI21" s="2"/>
    </row>
    <row r="22" spans="1:35" s="8" customFormat="1" ht="22" customHeight="1" thickBot="1" x14ac:dyDescent="0.3">
      <c r="A22" s="6"/>
      <c r="B22" s="65" t="s">
        <v>18</v>
      </c>
      <c r="C22" s="66"/>
      <c r="D22" s="7" t="s">
        <v>17</v>
      </c>
      <c r="E22" s="67" t="s">
        <v>11</v>
      </c>
      <c r="F22" s="68"/>
      <c r="G22" s="13">
        <f>COUNTIF(E21:AH21,"H")</f>
        <v>21</v>
      </c>
      <c r="H22" s="67" t="s">
        <v>12</v>
      </c>
      <c r="I22" s="68"/>
      <c r="J22" s="13">
        <f>COUNTIF(E21:AH21,"T")</f>
        <v>5</v>
      </c>
      <c r="K22" s="67" t="s">
        <v>13</v>
      </c>
      <c r="L22" s="68"/>
      <c r="M22" s="13">
        <f>COUNTIF(E21:AH21,"A") + COUNTIF(E21:AH21,"I")</f>
        <v>4</v>
      </c>
      <c r="N22" s="67" t="s">
        <v>14</v>
      </c>
      <c r="O22" s="68"/>
      <c r="P22" s="13">
        <f>IF((G22+J22+M22)=0,0,(G22+J22)/(G22+J22+M22)*100)</f>
        <v>86.666666666666671</v>
      </c>
      <c r="Q22" s="67"/>
      <c r="R22" s="68"/>
      <c r="S22" s="13"/>
      <c r="T22" s="67"/>
      <c r="U22" s="68"/>
      <c r="V22" s="14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6"/>
    </row>
    <row r="23" spans="1:35" ht="22" customHeight="1" x14ac:dyDescent="0.35">
      <c r="A23" s="2"/>
      <c r="B23" s="72" t="s">
        <v>31</v>
      </c>
      <c r="C23" s="72"/>
      <c r="D23" s="72"/>
      <c r="E23" s="16" t="s">
        <v>8</v>
      </c>
      <c r="F23" s="16" t="s">
        <v>0</v>
      </c>
      <c r="G23" s="17" t="s">
        <v>8</v>
      </c>
      <c r="H23" s="17" t="s">
        <v>8</v>
      </c>
      <c r="I23" s="17" t="s">
        <v>8</v>
      </c>
      <c r="J23" s="17" t="s">
        <v>8</v>
      </c>
      <c r="K23" s="17" t="s">
        <v>8</v>
      </c>
      <c r="L23" s="19" t="s">
        <v>8</v>
      </c>
      <c r="M23" s="19" t="s">
        <v>9</v>
      </c>
      <c r="N23" s="18" t="s">
        <v>9</v>
      </c>
      <c r="O23" s="18" t="s">
        <v>8</v>
      </c>
      <c r="P23" s="18" t="s">
        <v>9</v>
      </c>
      <c r="Q23" s="18" t="s">
        <v>8</v>
      </c>
      <c r="R23" s="18" t="s">
        <v>8</v>
      </c>
      <c r="S23" s="18" t="s">
        <v>8</v>
      </c>
      <c r="T23" s="18" t="s">
        <v>8</v>
      </c>
      <c r="U23" s="18" t="s">
        <v>9</v>
      </c>
      <c r="V23" s="18" t="s">
        <v>8</v>
      </c>
      <c r="W23" s="18" t="s">
        <v>8</v>
      </c>
      <c r="X23" s="18" t="s">
        <v>8</v>
      </c>
      <c r="Y23" s="18" t="s">
        <v>9</v>
      </c>
      <c r="Z23" s="18" t="s">
        <v>0</v>
      </c>
      <c r="AA23" s="18" t="s">
        <v>0</v>
      </c>
      <c r="AB23" s="18" t="s">
        <v>8</v>
      </c>
      <c r="AC23" s="18" t="s">
        <v>8</v>
      </c>
      <c r="AD23" s="18" t="s">
        <v>8</v>
      </c>
      <c r="AE23" s="18" t="s">
        <v>8</v>
      </c>
      <c r="AF23" s="18" t="s">
        <v>8</v>
      </c>
      <c r="AG23" s="18" t="s">
        <v>8</v>
      </c>
      <c r="AH23" s="18" t="s">
        <v>0</v>
      </c>
      <c r="AI23" s="2"/>
    </row>
    <row r="24" spans="1:35" s="8" customFormat="1" ht="22" customHeight="1" thickBot="1" x14ac:dyDescent="0.3">
      <c r="A24" s="6"/>
      <c r="B24" s="65" t="s">
        <v>18</v>
      </c>
      <c r="C24" s="66"/>
      <c r="D24" s="7" t="s">
        <v>17</v>
      </c>
      <c r="E24" s="67" t="s">
        <v>11</v>
      </c>
      <c r="F24" s="68"/>
      <c r="G24" s="13">
        <f>COUNTIF(E23:AH23,"H")</f>
        <v>21</v>
      </c>
      <c r="H24" s="67" t="s">
        <v>12</v>
      </c>
      <c r="I24" s="68"/>
      <c r="J24" s="13">
        <f>COUNTIF(E23:AH23,"T")</f>
        <v>5</v>
      </c>
      <c r="K24" s="67" t="s">
        <v>13</v>
      </c>
      <c r="L24" s="68"/>
      <c r="M24" s="13">
        <f>COUNTIF(E23:AH23,"A") + COUNTIF(E23:AH23,"I")</f>
        <v>4</v>
      </c>
      <c r="N24" s="67" t="s">
        <v>14</v>
      </c>
      <c r="O24" s="68"/>
      <c r="P24" s="13">
        <f>IF((G24+J24+M24)=0,0,(G24+J24)/(G24+J24+M24)*100)</f>
        <v>86.666666666666671</v>
      </c>
      <c r="Q24" s="67"/>
      <c r="R24" s="68"/>
      <c r="S24" s="13"/>
      <c r="T24" s="67"/>
      <c r="U24" s="68"/>
      <c r="V24" s="14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6"/>
    </row>
    <row r="25" spans="1:35" s="10" customFormat="1" ht="22" customHeight="1" x14ac:dyDescent="0.25">
      <c r="A25" s="9"/>
      <c r="B25" s="72" t="s">
        <v>32</v>
      </c>
      <c r="C25" s="72"/>
      <c r="D25" s="72"/>
      <c r="E25" s="16" t="s">
        <v>8</v>
      </c>
      <c r="F25" s="16" t="s">
        <v>0</v>
      </c>
      <c r="G25" s="17" t="s">
        <v>8</v>
      </c>
      <c r="H25" s="17" t="s">
        <v>8</v>
      </c>
      <c r="I25" s="17" t="s">
        <v>8</v>
      </c>
      <c r="J25" s="17" t="s">
        <v>8</v>
      </c>
      <c r="K25" s="17" t="s">
        <v>8</v>
      </c>
      <c r="L25" s="19" t="s">
        <v>8</v>
      </c>
      <c r="M25" s="19" t="s">
        <v>9</v>
      </c>
      <c r="N25" s="18" t="s">
        <v>9</v>
      </c>
      <c r="O25" s="18" t="s">
        <v>8</v>
      </c>
      <c r="P25" s="18" t="s">
        <v>9</v>
      </c>
      <c r="Q25" s="18" t="s">
        <v>8</v>
      </c>
      <c r="R25" s="18" t="s">
        <v>8</v>
      </c>
      <c r="S25" s="18" t="s">
        <v>8</v>
      </c>
      <c r="T25" s="18" t="s">
        <v>8</v>
      </c>
      <c r="U25" s="18" t="s">
        <v>9</v>
      </c>
      <c r="V25" s="18" t="s">
        <v>8</v>
      </c>
      <c r="W25" s="18" t="s">
        <v>8</v>
      </c>
      <c r="X25" s="18" t="s">
        <v>8</v>
      </c>
      <c r="Y25" s="18" t="s">
        <v>9</v>
      </c>
      <c r="Z25" s="18" t="s">
        <v>0</v>
      </c>
      <c r="AA25" s="18" t="s">
        <v>0</v>
      </c>
      <c r="AB25" s="18" t="s">
        <v>8</v>
      </c>
      <c r="AC25" s="18" t="s">
        <v>8</v>
      </c>
      <c r="AD25" s="18" t="s">
        <v>8</v>
      </c>
      <c r="AE25" s="18" t="s">
        <v>8</v>
      </c>
      <c r="AF25" s="18" t="s">
        <v>8</v>
      </c>
      <c r="AG25" s="18" t="s">
        <v>8</v>
      </c>
      <c r="AH25" s="18" t="s">
        <v>0</v>
      </c>
      <c r="AI25" s="9"/>
    </row>
    <row r="26" spans="1:35" s="8" customFormat="1" ht="22" customHeight="1" thickBot="1" x14ac:dyDescent="0.3">
      <c r="A26" s="6"/>
      <c r="B26" s="65" t="s">
        <v>18</v>
      </c>
      <c r="C26" s="66"/>
      <c r="D26" s="7" t="s">
        <v>17</v>
      </c>
      <c r="E26" s="67" t="s">
        <v>11</v>
      </c>
      <c r="F26" s="68"/>
      <c r="G26" s="13">
        <f>COUNTIF(E25:AH25,"H")</f>
        <v>21</v>
      </c>
      <c r="H26" s="67" t="s">
        <v>12</v>
      </c>
      <c r="I26" s="68"/>
      <c r="J26" s="13">
        <f>COUNTIF(E25:AH25,"T")</f>
        <v>5</v>
      </c>
      <c r="K26" s="67" t="s">
        <v>13</v>
      </c>
      <c r="L26" s="68"/>
      <c r="M26" s="13">
        <f>COUNTIF(E25:AH25,"A") + COUNTIF(E25:AH25,"I")</f>
        <v>4</v>
      </c>
      <c r="N26" s="67" t="s">
        <v>14</v>
      </c>
      <c r="O26" s="68"/>
      <c r="P26" s="13">
        <f>IF((G26+J26+M26)=0,0,(G26+J26)/(G26+J26+M26)*100)</f>
        <v>86.666666666666671</v>
      </c>
      <c r="Q26" s="67"/>
      <c r="R26" s="68"/>
      <c r="S26" s="13"/>
      <c r="T26" s="67"/>
      <c r="U26" s="68"/>
      <c r="V26" s="14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6"/>
    </row>
    <row r="27" spans="1:35" ht="22" customHeight="1" x14ac:dyDescent="0.35">
      <c r="A27" s="2"/>
      <c r="B27" s="72" t="s">
        <v>33</v>
      </c>
      <c r="C27" s="72"/>
      <c r="D27" s="72"/>
      <c r="E27" s="16" t="s">
        <v>8</v>
      </c>
      <c r="F27" s="16" t="s">
        <v>0</v>
      </c>
      <c r="G27" s="17" t="s">
        <v>8</v>
      </c>
      <c r="H27" s="17" t="s">
        <v>8</v>
      </c>
      <c r="I27" s="17" t="s">
        <v>8</v>
      </c>
      <c r="J27" s="17" t="s">
        <v>8</v>
      </c>
      <c r="K27" s="17" t="s">
        <v>8</v>
      </c>
      <c r="L27" s="19" t="s">
        <v>8</v>
      </c>
      <c r="M27" s="19" t="s">
        <v>9</v>
      </c>
      <c r="N27" s="18" t="s">
        <v>9</v>
      </c>
      <c r="O27" s="18" t="s">
        <v>8</v>
      </c>
      <c r="P27" s="18" t="s">
        <v>9</v>
      </c>
      <c r="Q27" s="18" t="s">
        <v>8</v>
      </c>
      <c r="R27" s="18" t="s">
        <v>8</v>
      </c>
      <c r="S27" s="18" t="s">
        <v>8</v>
      </c>
      <c r="T27" s="18" t="s">
        <v>8</v>
      </c>
      <c r="U27" s="18" t="s">
        <v>9</v>
      </c>
      <c r="V27" s="18" t="s">
        <v>8</v>
      </c>
      <c r="W27" s="18" t="s">
        <v>8</v>
      </c>
      <c r="X27" s="18" t="s">
        <v>8</v>
      </c>
      <c r="Y27" s="18" t="s">
        <v>9</v>
      </c>
      <c r="Z27" s="18" t="s">
        <v>0</v>
      </c>
      <c r="AA27" s="18" t="s">
        <v>0</v>
      </c>
      <c r="AB27" s="18" t="s">
        <v>8</v>
      </c>
      <c r="AC27" s="18" t="s">
        <v>8</v>
      </c>
      <c r="AD27" s="18" t="s">
        <v>8</v>
      </c>
      <c r="AE27" s="18" t="s">
        <v>8</v>
      </c>
      <c r="AF27" s="18" t="s">
        <v>8</v>
      </c>
      <c r="AG27" s="18" t="s">
        <v>8</v>
      </c>
      <c r="AH27" s="18" t="s">
        <v>0</v>
      </c>
      <c r="AI27" s="2"/>
    </row>
    <row r="28" spans="1:35" s="8" customFormat="1" ht="22" customHeight="1" thickBot="1" x14ac:dyDescent="0.3">
      <c r="A28" s="6"/>
      <c r="B28" s="65" t="s">
        <v>18</v>
      </c>
      <c r="C28" s="66"/>
      <c r="D28" s="7" t="s">
        <v>17</v>
      </c>
      <c r="E28" s="67" t="s">
        <v>11</v>
      </c>
      <c r="F28" s="68"/>
      <c r="G28" s="13">
        <f>COUNTIF(E27:AH27,"H")</f>
        <v>21</v>
      </c>
      <c r="H28" s="67" t="s">
        <v>12</v>
      </c>
      <c r="I28" s="68"/>
      <c r="J28" s="13">
        <f>COUNTIF(E27:AH27,"T")</f>
        <v>5</v>
      </c>
      <c r="K28" s="67" t="s">
        <v>13</v>
      </c>
      <c r="L28" s="68"/>
      <c r="M28" s="13">
        <f>COUNTIF(E27:AH27,"A") + COUNTIF(E27:AH27,"I")</f>
        <v>4</v>
      </c>
      <c r="N28" s="67" t="s">
        <v>14</v>
      </c>
      <c r="O28" s="68"/>
      <c r="P28" s="13">
        <f>IF((G28+J28+M28)=0,0,(G28+J28)/(G28+J28+M28)*100)</f>
        <v>86.666666666666671</v>
      </c>
      <c r="Q28" s="67"/>
      <c r="R28" s="68"/>
      <c r="S28" s="13"/>
      <c r="T28" s="67"/>
      <c r="U28" s="68"/>
      <c r="V28" s="14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6"/>
    </row>
    <row r="29" spans="1:35" s="10" customFormat="1" ht="22" customHeight="1" x14ac:dyDescent="0.25">
      <c r="A29" s="9"/>
      <c r="B29" s="72" t="s">
        <v>34</v>
      </c>
      <c r="C29" s="72"/>
      <c r="D29" s="72"/>
      <c r="E29" s="16" t="s">
        <v>8</v>
      </c>
      <c r="F29" s="16" t="s">
        <v>0</v>
      </c>
      <c r="G29" s="17" t="s">
        <v>8</v>
      </c>
      <c r="H29" s="17" t="s">
        <v>8</v>
      </c>
      <c r="I29" s="17" t="s">
        <v>8</v>
      </c>
      <c r="J29" s="17" t="s">
        <v>8</v>
      </c>
      <c r="K29" s="17" t="s">
        <v>8</v>
      </c>
      <c r="L29" s="19" t="s">
        <v>8</v>
      </c>
      <c r="M29" s="19" t="s">
        <v>9</v>
      </c>
      <c r="N29" s="18" t="s">
        <v>9</v>
      </c>
      <c r="O29" s="18" t="s">
        <v>8</v>
      </c>
      <c r="P29" s="18" t="s">
        <v>9</v>
      </c>
      <c r="Q29" s="18" t="s">
        <v>8</v>
      </c>
      <c r="R29" s="18" t="s">
        <v>8</v>
      </c>
      <c r="S29" s="18" t="s">
        <v>8</v>
      </c>
      <c r="T29" s="18" t="s">
        <v>8</v>
      </c>
      <c r="U29" s="18" t="s">
        <v>9</v>
      </c>
      <c r="V29" s="18" t="s">
        <v>8</v>
      </c>
      <c r="W29" s="18" t="s">
        <v>8</v>
      </c>
      <c r="X29" s="18" t="s">
        <v>8</v>
      </c>
      <c r="Y29" s="18" t="s">
        <v>9</v>
      </c>
      <c r="Z29" s="18" t="s">
        <v>0</v>
      </c>
      <c r="AA29" s="18" t="s">
        <v>0</v>
      </c>
      <c r="AB29" s="18" t="s">
        <v>8</v>
      </c>
      <c r="AC29" s="18" t="s">
        <v>8</v>
      </c>
      <c r="AD29" s="18" t="s">
        <v>8</v>
      </c>
      <c r="AE29" s="18" t="s">
        <v>8</v>
      </c>
      <c r="AF29" s="18" t="s">
        <v>8</v>
      </c>
      <c r="AG29" s="18" t="s">
        <v>8</v>
      </c>
      <c r="AH29" s="18" t="s">
        <v>0</v>
      </c>
      <c r="AI29" s="9"/>
    </row>
    <row r="30" spans="1:35" s="8" customFormat="1" ht="22" customHeight="1" thickBot="1" x14ac:dyDescent="0.3">
      <c r="A30" s="6"/>
      <c r="B30" s="65" t="s">
        <v>18</v>
      </c>
      <c r="C30" s="66"/>
      <c r="D30" s="7" t="s">
        <v>17</v>
      </c>
      <c r="E30" s="67" t="s">
        <v>11</v>
      </c>
      <c r="F30" s="68"/>
      <c r="G30" s="13">
        <f>COUNTIF(E29:AH29,"H")</f>
        <v>21</v>
      </c>
      <c r="H30" s="67" t="s">
        <v>12</v>
      </c>
      <c r="I30" s="68"/>
      <c r="J30" s="13">
        <f>COUNTIF(E29:AH29,"T")</f>
        <v>5</v>
      </c>
      <c r="K30" s="67" t="s">
        <v>13</v>
      </c>
      <c r="L30" s="68"/>
      <c r="M30" s="13">
        <f>COUNTIF(E29:AH29,"A") + COUNTIF(E29:AH29,"I")</f>
        <v>4</v>
      </c>
      <c r="N30" s="67" t="s">
        <v>14</v>
      </c>
      <c r="O30" s="68"/>
      <c r="P30" s="13">
        <f>IF((G30+J30+M30)=0,0,(G30+J30)/(G30+J30+M30)*100)</f>
        <v>86.666666666666671</v>
      </c>
      <c r="Q30" s="67"/>
      <c r="R30" s="68"/>
      <c r="S30" s="13"/>
      <c r="T30" s="67"/>
      <c r="U30" s="68"/>
      <c r="V30" s="14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6"/>
    </row>
    <row r="31" spans="1:35" ht="22" customHeight="1" x14ac:dyDescent="0.35">
      <c r="A31" s="2"/>
      <c r="B31" s="72" t="s">
        <v>35</v>
      </c>
      <c r="C31" s="72"/>
      <c r="D31" s="72"/>
      <c r="E31" s="16" t="s">
        <v>8</v>
      </c>
      <c r="F31" s="16" t="s">
        <v>0</v>
      </c>
      <c r="G31" s="17" t="s">
        <v>8</v>
      </c>
      <c r="H31" s="17" t="s">
        <v>8</v>
      </c>
      <c r="I31" s="17" t="s">
        <v>8</v>
      </c>
      <c r="J31" s="17" t="s">
        <v>8</v>
      </c>
      <c r="K31" s="17" t="s">
        <v>8</v>
      </c>
      <c r="L31" s="19" t="s">
        <v>8</v>
      </c>
      <c r="M31" s="19" t="s">
        <v>9</v>
      </c>
      <c r="N31" s="18" t="s">
        <v>9</v>
      </c>
      <c r="O31" s="18" t="s">
        <v>8</v>
      </c>
      <c r="P31" s="18" t="s">
        <v>9</v>
      </c>
      <c r="Q31" s="18" t="s">
        <v>8</v>
      </c>
      <c r="R31" s="18" t="s">
        <v>8</v>
      </c>
      <c r="S31" s="18" t="s">
        <v>8</v>
      </c>
      <c r="T31" s="18" t="s">
        <v>8</v>
      </c>
      <c r="U31" s="18" t="s">
        <v>9</v>
      </c>
      <c r="V31" s="18" t="s">
        <v>8</v>
      </c>
      <c r="W31" s="18" t="s">
        <v>8</v>
      </c>
      <c r="X31" s="18" t="s">
        <v>8</v>
      </c>
      <c r="Y31" s="18" t="s">
        <v>9</v>
      </c>
      <c r="Z31" s="18" t="s">
        <v>0</v>
      </c>
      <c r="AA31" s="18" t="s">
        <v>0</v>
      </c>
      <c r="AB31" s="18" t="s">
        <v>8</v>
      </c>
      <c r="AC31" s="18" t="s">
        <v>8</v>
      </c>
      <c r="AD31" s="18" t="s">
        <v>8</v>
      </c>
      <c r="AE31" s="18" t="s">
        <v>8</v>
      </c>
      <c r="AF31" s="18" t="s">
        <v>8</v>
      </c>
      <c r="AG31" s="18" t="s">
        <v>8</v>
      </c>
      <c r="AH31" s="18" t="s">
        <v>0</v>
      </c>
      <c r="AI31" s="2"/>
    </row>
    <row r="32" spans="1:35" s="8" customFormat="1" ht="22" customHeight="1" thickBot="1" x14ac:dyDescent="0.3">
      <c r="A32" s="6"/>
      <c r="B32" s="65" t="s">
        <v>18</v>
      </c>
      <c r="C32" s="66"/>
      <c r="D32" s="7" t="s">
        <v>17</v>
      </c>
      <c r="E32" s="67" t="s">
        <v>11</v>
      </c>
      <c r="F32" s="68"/>
      <c r="G32" s="13">
        <f>COUNTIF(E31:AH31,"H")</f>
        <v>21</v>
      </c>
      <c r="H32" s="67" t="s">
        <v>12</v>
      </c>
      <c r="I32" s="68"/>
      <c r="J32" s="13">
        <f>COUNTIF(E31:AH31,"T")</f>
        <v>5</v>
      </c>
      <c r="K32" s="67" t="s">
        <v>13</v>
      </c>
      <c r="L32" s="68"/>
      <c r="M32" s="13">
        <f>COUNTIF(E31:AH31,"A") + COUNTIF(E31:AH31,"I")</f>
        <v>4</v>
      </c>
      <c r="N32" s="67" t="s">
        <v>14</v>
      </c>
      <c r="O32" s="68"/>
      <c r="P32" s="13">
        <f>IF((G32+J32+M32)=0,0,(G32+J32)/(G32+J32+M32)*100)</f>
        <v>86.666666666666671</v>
      </c>
      <c r="Q32" s="67"/>
      <c r="R32" s="68"/>
      <c r="S32" s="13"/>
      <c r="T32" s="67"/>
      <c r="U32" s="68"/>
      <c r="V32" s="14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6"/>
    </row>
    <row r="33" spans="1:36" ht="22" customHeight="1" x14ac:dyDescent="0.35">
      <c r="A33" s="2"/>
      <c r="B33" s="72" t="s">
        <v>36</v>
      </c>
      <c r="C33" s="72"/>
      <c r="D33" s="72"/>
      <c r="E33" s="16" t="s">
        <v>8</v>
      </c>
      <c r="F33" s="16" t="s">
        <v>0</v>
      </c>
      <c r="G33" s="17" t="s">
        <v>8</v>
      </c>
      <c r="H33" s="17" t="s">
        <v>8</v>
      </c>
      <c r="I33" s="17" t="s">
        <v>8</v>
      </c>
      <c r="J33" s="17" t="s">
        <v>8</v>
      </c>
      <c r="K33" s="17" t="s">
        <v>8</v>
      </c>
      <c r="L33" s="19" t="s">
        <v>8</v>
      </c>
      <c r="M33" s="19" t="s">
        <v>9</v>
      </c>
      <c r="N33" s="18" t="s">
        <v>9</v>
      </c>
      <c r="O33" s="18" t="s">
        <v>8</v>
      </c>
      <c r="P33" s="18" t="s">
        <v>9</v>
      </c>
      <c r="Q33" s="18" t="s">
        <v>8</v>
      </c>
      <c r="R33" s="18" t="s">
        <v>8</v>
      </c>
      <c r="S33" s="18" t="s">
        <v>8</v>
      </c>
      <c r="T33" s="18" t="s">
        <v>8</v>
      </c>
      <c r="U33" s="18" t="s">
        <v>9</v>
      </c>
      <c r="V33" s="18" t="s">
        <v>8</v>
      </c>
      <c r="W33" s="18" t="s">
        <v>8</v>
      </c>
      <c r="X33" s="18" t="s">
        <v>8</v>
      </c>
      <c r="Y33" s="18" t="s">
        <v>9</v>
      </c>
      <c r="Z33" s="18" t="s">
        <v>0</v>
      </c>
      <c r="AA33" s="18" t="s">
        <v>0</v>
      </c>
      <c r="AB33" s="18" t="s">
        <v>8</v>
      </c>
      <c r="AC33" s="18" t="s">
        <v>8</v>
      </c>
      <c r="AD33" s="18" t="s">
        <v>8</v>
      </c>
      <c r="AE33" s="18" t="s">
        <v>8</v>
      </c>
      <c r="AF33" s="18" t="s">
        <v>8</v>
      </c>
      <c r="AG33" s="18" t="s">
        <v>8</v>
      </c>
      <c r="AH33" s="18" t="s">
        <v>0</v>
      </c>
      <c r="AI33" s="2"/>
    </row>
    <row r="34" spans="1:36" s="8" customFormat="1" ht="22" customHeight="1" thickBot="1" x14ac:dyDescent="0.3">
      <c r="A34" s="6"/>
      <c r="B34" s="65" t="s">
        <v>18</v>
      </c>
      <c r="C34" s="66"/>
      <c r="D34" s="7" t="s">
        <v>17</v>
      </c>
      <c r="E34" s="67" t="s">
        <v>11</v>
      </c>
      <c r="F34" s="68"/>
      <c r="G34" s="13">
        <f>COUNTIF(E33:AH33,"H")</f>
        <v>21</v>
      </c>
      <c r="H34" s="67" t="s">
        <v>12</v>
      </c>
      <c r="I34" s="68"/>
      <c r="J34" s="13">
        <f>COUNTIF(E33:AH33,"T")</f>
        <v>5</v>
      </c>
      <c r="K34" s="67" t="s">
        <v>13</v>
      </c>
      <c r="L34" s="68"/>
      <c r="M34" s="13">
        <f>COUNTIF(E33:AH33,"A") + COUNTIF(E33:AH33,"I")</f>
        <v>4</v>
      </c>
      <c r="N34" s="67" t="s">
        <v>14</v>
      </c>
      <c r="O34" s="68"/>
      <c r="P34" s="13">
        <f>IF((G34+J34+M34)=0,0,(G34+J34)/(G34+J34+M34)*100)</f>
        <v>86.666666666666671</v>
      </c>
      <c r="Q34" s="67"/>
      <c r="R34" s="68"/>
      <c r="S34" s="13"/>
      <c r="T34" s="67"/>
      <c r="U34" s="68"/>
      <c r="V34" s="14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6"/>
    </row>
    <row r="35" spans="1:36" s="10" customFormat="1" ht="22" customHeight="1" x14ac:dyDescent="0.25">
      <c r="A35" s="9"/>
      <c r="B35" s="69" t="s">
        <v>37</v>
      </c>
      <c r="C35" s="70"/>
      <c r="D35" s="71"/>
      <c r="E35" s="16" t="s">
        <v>8</v>
      </c>
      <c r="F35" s="16" t="s">
        <v>0</v>
      </c>
      <c r="G35" s="17" t="s">
        <v>8</v>
      </c>
      <c r="H35" s="17" t="s">
        <v>8</v>
      </c>
      <c r="I35" s="17" t="s">
        <v>8</v>
      </c>
      <c r="J35" s="17" t="s">
        <v>8</v>
      </c>
      <c r="K35" s="17" t="s">
        <v>8</v>
      </c>
      <c r="L35" s="19" t="s">
        <v>8</v>
      </c>
      <c r="M35" s="19" t="s">
        <v>9</v>
      </c>
      <c r="N35" s="18" t="s">
        <v>9</v>
      </c>
      <c r="O35" s="18" t="s">
        <v>8</v>
      </c>
      <c r="P35" s="18" t="s">
        <v>9</v>
      </c>
      <c r="Q35" s="18" t="s">
        <v>8</v>
      </c>
      <c r="R35" s="18" t="s">
        <v>8</v>
      </c>
      <c r="S35" s="18" t="s">
        <v>8</v>
      </c>
      <c r="T35" s="18" t="s">
        <v>8</v>
      </c>
      <c r="U35" s="18" t="s">
        <v>9</v>
      </c>
      <c r="V35" s="18" t="s">
        <v>8</v>
      </c>
      <c r="W35" s="18" t="s">
        <v>8</v>
      </c>
      <c r="X35" s="18" t="s">
        <v>8</v>
      </c>
      <c r="Y35" s="18" t="s">
        <v>9</v>
      </c>
      <c r="Z35" s="18" t="s">
        <v>0</v>
      </c>
      <c r="AA35" s="18" t="s">
        <v>0</v>
      </c>
      <c r="AB35" s="18" t="s">
        <v>8</v>
      </c>
      <c r="AC35" s="18" t="s">
        <v>8</v>
      </c>
      <c r="AD35" s="18" t="s">
        <v>8</v>
      </c>
      <c r="AE35" s="18" t="s">
        <v>8</v>
      </c>
      <c r="AF35" s="18" t="s">
        <v>8</v>
      </c>
      <c r="AG35" s="18" t="s">
        <v>8</v>
      </c>
      <c r="AH35" s="18" t="s">
        <v>0</v>
      </c>
      <c r="AI35" s="9"/>
    </row>
    <row r="36" spans="1:36" s="8" customFormat="1" ht="22" customHeight="1" thickBot="1" x14ac:dyDescent="0.3">
      <c r="A36" s="6"/>
      <c r="B36" s="65" t="s">
        <v>18</v>
      </c>
      <c r="C36" s="66"/>
      <c r="D36" s="7" t="s">
        <v>17</v>
      </c>
      <c r="E36" s="67" t="s">
        <v>11</v>
      </c>
      <c r="F36" s="68"/>
      <c r="G36" s="13">
        <f>COUNTIF(E35:AH35,"H")</f>
        <v>21</v>
      </c>
      <c r="H36" s="67" t="s">
        <v>12</v>
      </c>
      <c r="I36" s="68"/>
      <c r="J36" s="13">
        <f>COUNTIF(E35:AH35,"T")</f>
        <v>5</v>
      </c>
      <c r="K36" s="67" t="s">
        <v>13</v>
      </c>
      <c r="L36" s="68"/>
      <c r="M36" s="13">
        <f>COUNTIF(E35:AH35,"A") + COUNTIF(E35:AH35,"I")</f>
        <v>4</v>
      </c>
      <c r="N36" s="67" t="s">
        <v>14</v>
      </c>
      <c r="O36" s="68"/>
      <c r="P36" s="13">
        <f>IF((G36+J36+M36)=0,0,(G36+J36)/(G36+J36+M36)*100)</f>
        <v>86.666666666666671</v>
      </c>
      <c r="Q36" s="67"/>
      <c r="R36" s="68"/>
      <c r="S36" s="13"/>
      <c r="T36" s="67"/>
      <c r="U36" s="68"/>
      <c r="V36" s="14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6"/>
    </row>
    <row r="37" spans="1:36" s="10" customFormat="1" ht="22" customHeight="1" x14ac:dyDescent="0.25">
      <c r="A37" s="9"/>
      <c r="B37" s="69" t="s">
        <v>38</v>
      </c>
      <c r="C37" s="70"/>
      <c r="D37" s="71"/>
      <c r="E37" s="16" t="s">
        <v>8</v>
      </c>
      <c r="F37" s="16" t="s">
        <v>0</v>
      </c>
      <c r="G37" s="17" t="s">
        <v>8</v>
      </c>
      <c r="H37" s="17" t="s">
        <v>8</v>
      </c>
      <c r="I37" s="17" t="s">
        <v>8</v>
      </c>
      <c r="J37" s="17" t="s">
        <v>8</v>
      </c>
      <c r="K37" s="17" t="s">
        <v>8</v>
      </c>
      <c r="L37" s="19" t="s">
        <v>8</v>
      </c>
      <c r="M37" s="19" t="s">
        <v>9</v>
      </c>
      <c r="N37" s="18" t="s">
        <v>9</v>
      </c>
      <c r="O37" s="18" t="s">
        <v>8</v>
      </c>
      <c r="P37" s="18" t="s">
        <v>9</v>
      </c>
      <c r="Q37" s="18" t="s">
        <v>8</v>
      </c>
      <c r="R37" s="18" t="s">
        <v>8</v>
      </c>
      <c r="S37" s="18" t="s">
        <v>8</v>
      </c>
      <c r="T37" s="18" t="s">
        <v>8</v>
      </c>
      <c r="U37" s="18" t="s">
        <v>9</v>
      </c>
      <c r="V37" s="18" t="s">
        <v>8</v>
      </c>
      <c r="W37" s="18" t="s">
        <v>8</v>
      </c>
      <c r="X37" s="18" t="s">
        <v>8</v>
      </c>
      <c r="Y37" s="18" t="s">
        <v>9</v>
      </c>
      <c r="Z37" s="18" t="s">
        <v>0</v>
      </c>
      <c r="AA37" s="18" t="s">
        <v>0</v>
      </c>
      <c r="AB37" s="18" t="s">
        <v>8</v>
      </c>
      <c r="AC37" s="18" t="s">
        <v>8</v>
      </c>
      <c r="AD37" s="18" t="s">
        <v>8</v>
      </c>
      <c r="AE37" s="18" t="s">
        <v>8</v>
      </c>
      <c r="AF37" s="18" t="s">
        <v>8</v>
      </c>
      <c r="AG37" s="18" t="s">
        <v>8</v>
      </c>
      <c r="AH37" s="18" t="s">
        <v>0</v>
      </c>
      <c r="AI37" s="9"/>
    </row>
    <row r="38" spans="1:36" s="8" customFormat="1" ht="22" customHeight="1" thickBot="1" x14ac:dyDescent="0.3">
      <c r="A38" s="6"/>
      <c r="B38" s="65" t="s">
        <v>18</v>
      </c>
      <c r="C38" s="66"/>
      <c r="D38" s="7" t="s">
        <v>17</v>
      </c>
      <c r="E38" s="67" t="s">
        <v>11</v>
      </c>
      <c r="F38" s="68"/>
      <c r="G38" s="13">
        <f>COUNTIF(E37:AH37,"H")</f>
        <v>21</v>
      </c>
      <c r="H38" s="67" t="s">
        <v>12</v>
      </c>
      <c r="I38" s="68"/>
      <c r="J38" s="13">
        <f>COUNTIF(E37:AH37,"T")</f>
        <v>5</v>
      </c>
      <c r="K38" s="67" t="s">
        <v>13</v>
      </c>
      <c r="L38" s="68"/>
      <c r="M38" s="13">
        <f>COUNTIF(E37:AH37,"A") + COUNTIF(E37:AH37,"I")</f>
        <v>4</v>
      </c>
      <c r="N38" s="67" t="s">
        <v>14</v>
      </c>
      <c r="O38" s="68"/>
      <c r="P38" s="13">
        <f>IF((G38+J38+M38)=0,0,(G38+J38)/(G38+J38+M38)*100)</f>
        <v>86.666666666666671</v>
      </c>
      <c r="Q38" s="67"/>
      <c r="R38" s="68"/>
      <c r="S38" s="13"/>
      <c r="T38" s="67"/>
      <c r="U38" s="68"/>
      <c r="V38" s="14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6"/>
    </row>
    <row r="39" spans="1:36" s="10" customFormat="1" ht="22" customHeight="1" x14ac:dyDescent="0.25">
      <c r="A39" s="9"/>
      <c r="B39" s="69" t="s">
        <v>39</v>
      </c>
      <c r="C39" s="70"/>
      <c r="D39" s="71"/>
      <c r="E39" s="16" t="s">
        <v>8</v>
      </c>
      <c r="F39" s="16" t="s">
        <v>0</v>
      </c>
      <c r="G39" s="17" t="s">
        <v>8</v>
      </c>
      <c r="H39" s="17" t="s">
        <v>8</v>
      </c>
      <c r="I39" s="17" t="s">
        <v>8</v>
      </c>
      <c r="J39" s="17" t="s">
        <v>8</v>
      </c>
      <c r="K39" s="17" t="s">
        <v>8</v>
      </c>
      <c r="L39" s="19" t="s">
        <v>8</v>
      </c>
      <c r="M39" s="19" t="s">
        <v>9</v>
      </c>
      <c r="N39" s="18" t="s">
        <v>9</v>
      </c>
      <c r="O39" s="18" t="s">
        <v>8</v>
      </c>
      <c r="P39" s="18" t="s">
        <v>9</v>
      </c>
      <c r="Q39" s="18" t="s">
        <v>8</v>
      </c>
      <c r="R39" s="18" t="s">
        <v>8</v>
      </c>
      <c r="S39" s="18" t="s">
        <v>8</v>
      </c>
      <c r="T39" s="18" t="s">
        <v>8</v>
      </c>
      <c r="U39" s="18" t="s">
        <v>9</v>
      </c>
      <c r="V39" s="18" t="s">
        <v>8</v>
      </c>
      <c r="W39" s="18" t="s">
        <v>8</v>
      </c>
      <c r="X39" s="18" t="s">
        <v>8</v>
      </c>
      <c r="Y39" s="18" t="s">
        <v>9</v>
      </c>
      <c r="Z39" s="18" t="s">
        <v>0</v>
      </c>
      <c r="AA39" s="18" t="s">
        <v>0</v>
      </c>
      <c r="AB39" s="18" t="s">
        <v>8</v>
      </c>
      <c r="AC39" s="18" t="s">
        <v>8</v>
      </c>
      <c r="AD39" s="18" t="s">
        <v>8</v>
      </c>
      <c r="AE39" s="18" t="s">
        <v>8</v>
      </c>
      <c r="AF39" s="18" t="s">
        <v>8</v>
      </c>
      <c r="AG39" s="18" t="s">
        <v>8</v>
      </c>
      <c r="AH39" s="18" t="s">
        <v>0</v>
      </c>
      <c r="AI39" s="9"/>
    </row>
    <row r="40" spans="1:36" s="8" customFormat="1" ht="22" customHeight="1" thickBot="1" x14ac:dyDescent="0.3">
      <c r="A40" s="6"/>
      <c r="B40" s="65" t="s">
        <v>18</v>
      </c>
      <c r="C40" s="66"/>
      <c r="D40" s="7" t="s">
        <v>17</v>
      </c>
      <c r="E40" s="67" t="s">
        <v>11</v>
      </c>
      <c r="F40" s="68"/>
      <c r="G40" s="13">
        <f>COUNTIF(E39:AH39,"H")</f>
        <v>21</v>
      </c>
      <c r="H40" s="67" t="s">
        <v>12</v>
      </c>
      <c r="I40" s="68"/>
      <c r="J40" s="13">
        <f>COUNTIF(E39:AH39,"T")</f>
        <v>5</v>
      </c>
      <c r="K40" s="67" t="s">
        <v>13</v>
      </c>
      <c r="L40" s="68"/>
      <c r="M40" s="13">
        <f>COUNTIF(E39:AH39,"A") + COUNTIF(E39:AH39,"I")</f>
        <v>4</v>
      </c>
      <c r="N40" s="67" t="s">
        <v>14</v>
      </c>
      <c r="O40" s="68"/>
      <c r="P40" s="13">
        <f>IF((G40+J40+M40)=0,0,(G40+J40)/(G40+J40+M40)*100)</f>
        <v>86.666666666666671</v>
      </c>
      <c r="Q40" s="67"/>
      <c r="R40" s="68"/>
      <c r="S40" s="13"/>
      <c r="T40" s="67"/>
      <c r="U40" s="68"/>
      <c r="V40" s="14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6"/>
    </row>
    <row r="41" spans="1:36" s="10" customFormat="1" ht="22" customHeight="1" x14ac:dyDescent="0.25">
      <c r="A41" s="9"/>
      <c r="B41" s="69" t="s">
        <v>40</v>
      </c>
      <c r="C41" s="70"/>
      <c r="D41" s="71"/>
      <c r="E41" s="16" t="s">
        <v>8</v>
      </c>
      <c r="F41" s="16" t="s">
        <v>0</v>
      </c>
      <c r="G41" s="17" t="s">
        <v>8</v>
      </c>
      <c r="H41" s="17" t="s">
        <v>8</v>
      </c>
      <c r="I41" s="17" t="s">
        <v>8</v>
      </c>
      <c r="J41" s="17" t="s">
        <v>8</v>
      </c>
      <c r="K41" s="17" t="s">
        <v>8</v>
      </c>
      <c r="L41" s="19" t="s">
        <v>8</v>
      </c>
      <c r="M41" s="19" t="s">
        <v>9</v>
      </c>
      <c r="N41" s="18" t="s">
        <v>9</v>
      </c>
      <c r="O41" s="18" t="s">
        <v>8</v>
      </c>
      <c r="P41" s="18" t="s">
        <v>9</v>
      </c>
      <c r="Q41" s="18" t="s">
        <v>8</v>
      </c>
      <c r="R41" s="18" t="s">
        <v>8</v>
      </c>
      <c r="S41" s="18" t="s">
        <v>8</v>
      </c>
      <c r="T41" s="18" t="s">
        <v>8</v>
      </c>
      <c r="U41" s="18" t="s">
        <v>9</v>
      </c>
      <c r="V41" s="18" t="s">
        <v>8</v>
      </c>
      <c r="W41" s="18" t="s">
        <v>8</v>
      </c>
      <c r="X41" s="18" t="s">
        <v>8</v>
      </c>
      <c r="Y41" s="18" t="s">
        <v>9</v>
      </c>
      <c r="Z41" s="18" t="s">
        <v>0</v>
      </c>
      <c r="AA41" s="18" t="s">
        <v>0</v>
      </c>
      <c r="AB41" s="18" t="s">
        <v>8</v>
      </c>
      <c r="AC41" s="18" t="s">
        <v>8</v>
      </c>
      <c r="AD41" s="18" t="s">
        <v>8</v>
      </c>
      <c r="AE41" s="18" t="s">
        <v>8</v>
      </c>
      <c r="AF41" s="18" t="s">
        <v>8</v>
      </c>
      <c r="AG41" s="18" t="s">
        <v>8</v>
      </c>
      <c r="AH41" s="18" t="s">
        <v>0</v>
      </c>
      <c r="AI41" s="9"/>
    </row>
    <row r="42" spans="1:36" s="8" customFormat="1" ht="22" customHeight="1" thickBot="1" x14ac:dyDescent="0.3">
      <c r="A42" s="6"/>
      <c r="B42" s="65" t="s">
        <v>18</v>
      </c>
      <c r="C42" s="66"/>
      <c r="D42" s="7" t="s">
        <v>17</v>
      </c>
      <c r="E42" s="67" t="s">
        <v>11</v>
      </c>
      <c r="F42" s="68"/>
      <c r="G42" s="13">
        <f>COUNTIF(E41:AH41,"H")</f>
        <v>21</v>
      </c>
      <c r="H42" s="67" t="s">
        <v>12</v>
      </c>
      <c r="I42" s="68"/>
      <c r="J42" s="13">
        <f>COUNTIF(E41:AH41,"T")</f>
        <v>5</v>
      </c>
      <c r="K42" s="67" t="s">
        <v>13</v>
      </c>
      <c r="L42" s="68"/>
      <c r="M42" s="13">
        <f>COUNTIF(E41:AH41,"A") + COUNTIF(E41:AH41,"I")</f>
        <v>4</v>
      </c>
      <c r="N42" s="67" t="s">
        <v>14</v>
      </c>
      <c r="O42" s="68"/>
      <c r="P42" s="13">
        <f>IF((G42+J42+M42)=0,0,(G42+J42)/(G42+J42+M42)*100)</f>
        <v>86.666666666666671</v>
      </c>
      <c r="Q42" s="67"/>
      <c r="R42" s="68"/>
      <c r="S42" s="13"/>
      <c r="T42" s="67"/>
      <c r="U42" s="68"/>
      <c r="V42" s="14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6"/>
    </row>
    <row r="43" spans="1:36" s="10" customFormat="1" ht="22" customHeight="1" x14ac:dyDescent="0.25">
      <c r="A43" s="9"/>
      <c r="B43" s="62" t="s">
        <v>41</v>
      </c>
      <c r="C43" s="63"/>
      <c r="D43" s="64"/>
      <c r="E43" s="16" t="s">
        <v>8</v>
      </c>
      <c r="F43" s="16" t="s">
        <v>0</v>
      </c>
      <c r="G43" s="17" t="s">
        <v>8</v>
      </c>
      <c r="H43" s="17" t="s">
        <v>8</v>
      </c>
      <c r="I43" s="17" t="s">
        <v>8</v>
      </c>
      <c r="J43" s="17" t="s">
        <v>8</v>
      </c>
      <c r="K43" s="17" t="s">
        <v>8</v>
      </c>
      <c r="L43" s="19" t="s">
        <v>8</v>
      </c>
      <c r="M43" s="19" t="s">
        <v>9</v>
      </c>
      <c r="N43" s="18" t="s">
        <v>9</v>
      </c>
      <c r="O43" s="18" t="s">
        <v>8</v>
      </c>
      <c r="P43" s="18" t="s">
        <v>9</v>
      </c>
      <c r="Q43" s="18" t="s">
        <v>8</v>
      </c>
      <c r="R43" s="18" t="s">
        <v>8</v>
      </c>
      <c r="S43" s="18" t="s">
        <v>8</v>
      </c>
      <c r="T43" s="18" t="s">
        <v>8</v>
      </c>
      <c r="U43" s="18" t="s">
        <v>9</v>
      </c>
      <c r="V43" s="18" t="s">
        <v>8</v>
      </c>
      <c r="W43" s="18" t="s">
        <v>8</v>
      </c>
      <c r="X43" s="18" t="s">
        <v>8</v>
      </c>
      <c r="Y43" s="18" t="s">
        <v>9</v>
      </c>
      <c r="Z43" s="18" t="s">
        <v>0</v>
      </c>
      <c r="AA43" s="18" t="s">
        <v>0</v>
      </c>
      <c r="AB43" s="18" t="s">
        <v>8</v>
      </c>
      <c r="AC43" s="18" t="s">
        <v>8</v>
      </c>
      <c r="AD43" s="18" t="s">
        <v>8</v>
      </c>
      <c r="AE43" s="18" t="s">
        <v>8</v>
      </c>
      <c r="AF43" s="18" t="s">
        <v>8</v>
      </c>
      <c r="AG43" s="18" t="s">
        <v>8</v>
      </c>
      <c r="AH43" s="18" t="s">
        <v>0</v>
      </c>
      <c r="AI43" s="9"/>
    </row>
    <row r="44" spans="1:36" s="8" customFormat="1" ht="22" customHeight="1" thickBot="1" x14ac:dyDescent="0.3">
      <c r="A44" s="6"/>
      <c r="B44" s="65" t="s">
        <v>18</v>
      </c>
      <c r="C44" s="66"/>
      <c r="D44" s="7" t="s">
        <v>17</v>
      </c>
      <c r="E44" s="67" t="s">
        <v>11</v>
      </c>
      <c r="F44" s="68"/>
      <c r="G44" s="13">
        <f>COUNTIF(E43:AH43,"H")</f>
        <v>21</v>
      </c>
      <c r="H44" s="67" t="s">
        <v>12</v>
      </c>
      <c r="I44" s="68"/>
      <c r="J44" s="13">
        <f>COUNTIF(E43:AH43,"T")</f>
        <v>5</v>
      </c>
      <c r="K44" s="67" t="s">
        <v>13</v>
      </c>
      <c r="L44" s="68"/>
      <c r="M44" s="13">
        <f>COUNTIF(E43:AH43,"A") + COUNTIF(E43:AH43,"I")</f>
        <v>4</v>
      </c>
      <c r="N44" s="67" t="s">
        <v>14</v>
      </c>
      <c r="O44" s="68"/>
      <c r="P44" s="13">
        <f>IF((G44+J44+M44)=0,0,(G44+J44)/(G44+J44+M44)*100)</f>
        <v>86.666666666666671</v>
      </c>
      <c r="Q44" s="67"/>
      <c r="R44" s="68"/>
      <c r="S44" s="13"/>
      <c r="T44" s="67"/>
      <c r="U44" s="68"/>
      <c r="V44" s="14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6"/>
    </row>
    <row r="45" spans="1:36" ht="22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ht="28.5" customHeight="1" x14ac:dyDescent="0.35">
      <c r="A46" s="2"/>
      <c r="B46" s="48" t="s">
        <v>19</v>
      </c>
      <c r="C46" s="48"/>
      <c r="D46" s="48"/>
      <c r="E46" s="48"/>
      <c r="F46" s="48"/>
      <c r="G46" s="48"/>
      <c r="H46" s="48"/>
      <c r="I46" s="48"/>
      <c r="J46" s="48"/>
      <c r="L46" s="49" t="s">
        <v>55</v>
      </c>
      <c r="M46" s="50"/>
      <c r="N46" s="50"/>
      <c r="O46" s="50"/>
      <c r="P46" s="50"/>
      <c r="Q46" s="50"/>
      <c r="R46" s="50"/>
      <c r="S46" s="50"/>
      <c r="T46" s="50"/>
      <c r="U46" s="50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6" ht="22" customHeight="1" x14ac:dyDescent="0.35">
      <c r="A47" s="2"/>
      <c r="B47" s="51"/>
      <c r="C47" s="51"/>
      <c r="D47" s="51"/>
      <c r="E47" s="51"/>
      <c r="F47" s="51"/>
      <c r="G47" s="51"/>
      <c r="H47" s="51"/>
      <c r="I47" s="51"/>
      <c r="J47" s="51"/>
      <c r="L47" s="52" t="s">
        <v>21</v>
      </c>
      <c r="M47" s="52"/>
      <c r="N47" s="52"/>
      <c r="O47" s="52"/>
      <c r="P47" s="52"/>
      <c r="Q47" s="52"/>
      <c r="R47" s="52"/>
      <c r="S47" s="52"/>
      <c r="T47" s="53">
        <v>30</v>
      </c>
      <c r="U47" s="54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6" ht="22" customHeight="1" x14ac:dyDescent="0.35">
      <c r="A48" s="2"/>
      <c r="B48" s="51"/>
      <c r="C48" s="51"/>
      <c r="D48" s="51"/>
      <c r="E48" s="51"/>
      <c r="F48" s="51"/>
      <c r="G48" s="51"/>
      <c r="H48" s="51"/>
      <c r="I48" s="51"/>
      <c r="J48" s="51"/>
      <c r="L48" s="52" t="s">
        <v>42</v>
      </c>
      <c r="M48" s="52"/>
      <c r="N48" s="52"/>
      <c r="O48" s="52"/>
      <c r="P48" s="52"/>
      <c r="Q48" s="52"/>
      <c r="R48" s="52"/>
      <c r="S48" s="52"/>
      <c r="T48" s="53">
        <v>20</v>
      </c>
      <c r="U48" s="54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1:36" ht="22" customHeight="1" x14ac:dyDescent="0.35">
      <c r="A49" s="2"/>
      <c r="B49" s="51"/>
      <c r="C49" s="51"/>
      <c r="D49" s="51"/>
      <c r="E49" s="51"/>
      <c r="F49" s="51"/>
      <c r="G49" s="51"/>
      <c r="H49" s="51"/>
      <c r="I49" s="51"/>
      <c r="J49" s="51"/>
      <c r="L49" s="55" t="s">
        <v>43</v>
      </c>
      <c r="M49" s="55"/>
      <c r="N49" s="55"/>
      <c r="O49" s="55"/>
      <c r="P49" s="55"/>
      <c r="Q49" s="55"/>
      <c r="R49" s="55"/>
      <c r="S49" s="55"/>
      <c r="T49" s="58">
        <f>T47*T48</f>
        <v>600</v>
      </c>
      <c r="U49" s="59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1:36" ht="22" customHeight="1" x14ac:dyDescent="0.35">
      <c r="A50" s="2"/>
      <c r="B50" s="51"/>
      <c r="C50" s="51"/>
      <c r="D50" s="51"/>
      <c r="E50" s="51"/>
      <c r="F50" s="51"/>
      <c r="G50" s="51"/>
      <c r="H50" s="51"/>
      <c r="I50" s="51"/>
      <c r="J50" s="51"/>
      <c r="L50" s="52" t="s">
        <v>44</v>
      </c>
      <c r="M50" s="52"/>
      <c r="N50" s="52"/>
      <c r="O50" s="52"/>
      <c r="P50" s="52"/>
      <c r="Q50" s="52"/>
      <c r="R50" s="52"/>
      <c r="S50" s="52"/>
      <c r="T50" s="60">
        <f>COUNTIF(E5:AH43,"H")</f>
        <v>424</v>
      </c>
      <c r="U50" s="61"/>
      <c r="AD50" s="2"/>
      <c r="AE50" s="2"/>
      <c r="AF50" s="2"/>
      <c r="AG50" s="2"/>
      <c r="AH50" s="2"/>
      <c r="AI50" s="2"/>
    </row>
    <row r="51" spans="1:36" ht="22" customHeight="1" x14ac:dyDescent="0.35">
      <c r="A51" s="2"/>
      <c r="B51" s="51"/>
      <c r="C51" s="51"/>
      <c r="D51" s="51"/>
      <c r="E51" s="51"/>
      <c r="F51" s="51"/>
      <c r="G51" s="51"/>
      <c r="H51" s="51"/>
      <c r="I51" s="51"/>
      <c r="J51" s="51"/>
      <c r="L51" s="52" t="s">
        <v>87</v>
      </c>
      <c r="M51" s="52"/>
      <c r="N51" s="52"/>
      <c r="O51" s="52"/>
      <c r="P51" s="52"/>
      <c r="Q51" s="52"/>
      <c r="R51" s="52"/>
      <c r="S51" s="52"/>
      <c r="T51" s="60">
        <f>COUNTIF(E5:AH43,"T")</f>
        <v>96</v>
      </c>
      <c r="U51" s="61"/>
      <c r="AD51" s="2"/>
      <c r="AE51" s="2"/>
      <c r="AF51" s="2"/>
      <c r="AG51" s="2"/>
      <c r="AH51" s="2"/>
      <c r="AI51" s="2"/>
    </row>
    <row r="52" spans="1:36" ht="22" customHeight="1" x14ac:dyDescent="0.35">
      <c r="A52" s="2"/>
      <c r="B52" s="51"/>
      <c r="C52" s="51"/>
      <c r="D52" s="51"/>
      <c r="E52" s="51"/>
      <c r="F52" s="51"/>
      <c r="G52" s="51"/>
      <c r="H52" s="51"/>
      <c r="I52" s="51"/>
      <c r="J52" s="51"/>
      <c r="L52" s="52" t="s">
        <v>88</v>
      </c>
      <c r="M52" s="52"/>
      <c r="N52" s="52"/>
      <c r="O52" s="52"/>
      <c r="P52" s="52"/>
      <c r="Q52" s="52"/>
      <c r="R52" s="52"/>
      <c r="S52" s="52"/>
      <c r="T52" s="60">
        <f>COUNTIF(E5:AH43,"A")+COUNTIF(E5:AH43,"I")</f>
        <v>80</v>
      </c>
      <c r="U52" s="61"/>
      <c r="AD52" s="2"/>
      <c r="AE52" s="2"/>
      <c r="AF52" s="2"/>
      <c r="AG52" s="2"/>
      <c r="AH52" s="2"/>
      <c r="AI52" s="2"/>
    </row>
    <row r="53" spans="1:36" ht="22" customHeight="1" x14ac:dyDescent="0.35">
      <c r="A53" s="2"/>
      <c r="B53" s="51"/>
      <c r="C53" s="51"/>
      <c r="D53" s="51"/>
      <c r="E53" s="51"/>
      <c r="F53" s="51"/>
      <c r="G53" s="51"/>
      <c r="H53" s="51"/>
      <c r="I53" s="51"/>
      <c r="J53" s="51"/>
      <c r="L53" s="52" t="s">
        <v>47</v>
      </c>
      <c r="M53" s="52"/>
      <c r="N53" s="52"/>
      <c r="O53" s="52"/>
      <c r="P53" s="52"/>
      <c r="Q53" s="52"/>
      <c r="R53" s="52"/>
      <c r="S53" s="52"/>
      <c r="T53" s="56">
        <f>IF((T50+T51+T52)=0,0,(T50+T51)/( T50+T51+T52))</f>
        <v>0.8666666666666667</v>
      </c>
      <c r="U53" s="57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1:36" ht="16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ht="16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ht="16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ht="16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ht="16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ht="16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ht="16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spans="1:36" ht="16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ht="16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6" ht="16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ht="16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ht="16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ht="16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spans="1:36" ht="16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6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spans="1:36" ht="16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spans="1:36" ht="16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spans="1:36" ht="16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spans="1:36" ht="16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spans="1:36" ht="16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6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6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6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spans="1:36" ht="16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spans="1:36" ht="16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spans="1:36" ht="16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6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6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spans="1:36" ht="16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spans="1:36" ht="16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spans="1:36" ht="16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spans="1:36" ht="16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spans="1:36" ht="16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spans="1:36" ht="16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spans="1:36" ht="16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6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spans="1:36" ht="16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spans="1:36" ht="16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spans="1:36" ht="16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spans="1:36" ht="16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spans="1:36" ht="16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spans="1:36" ht="16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spans="1:36" ht="16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spans="1:36" ht="16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spans="1:36" ht="16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spans="1:36" ht="16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spans="1:36" ht="16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spans="1:36" ht="16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spans="1:36" ht="16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spans="1:36" ht="16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spans="1:36" ht="16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spans="1:36" ht="16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spans="1:36" ht="16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spans="1:36" ht="16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spans="1:36" ht="16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spans="1:36" ht="16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spans="1:36" ht="16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spans="1:36" ht="16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spans="1:36" ht="16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spans="1:36" ht="16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spans="1:36" ht="16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spans="1:36" ht="16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spans="1:36" ht="16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spans="1:36" ht="16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spans="1:36" ht="16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spans="1:36" ht="16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spans="1:36" ht="16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6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6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6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6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6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6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6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6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6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6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6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6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6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6" ht="16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6" ht="16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6" ht="16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6" ht="16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6" ht="16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6" ht="16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spans="1:36" ht="16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spans="1:36" ht="16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spans="1:36" ht="16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spans="1:36" ht="16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spans="1:36" ht="16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spans="1:36" ht="16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spans="1:36" ht="16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spans="1:36" ht="16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spans="1:36" ht="16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spans="1:36" ht="16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spans="1:36" ht="16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spans="1:36" ht="16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spans="1:36" ht="16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spans="1:36" ht="16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spans="1:36" ht="16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spans="1:36" ht="16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spans="1:36" ht="16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spans="1:36" ht="16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spans="1:36" ht="16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spans="1:36" ht="16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spans="1:36" ht="16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spans="1:36" ht="16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spans="1:36" ht="16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spans="1:36" ht="16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spans="1:36" ht="16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spans="1:36" ht="16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spans="1:36" ht="16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spans="1:36" ht="16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spans="1:36" ht="16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spans="1:36" ht="16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spans="1:36" ht="16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spans="1:36" ht="16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spans="1:36" ht="16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spans="1:36" ht="16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spans="1:36" ht="16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spans="1:36" ht="16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spans="1:36" ht="16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spans="1:36" ht="16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spans="1:36" ht="16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spans="1:36" ht="16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spans="1:36" ht="16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spans="1:36" ht="16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spans="1:36" ht="16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spans="1:36" ht="16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spans="1:36" ht="16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spans="1:36" ht="16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spans="1:36" ht="16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spans="1:36" ht="16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spans="1:36" ht="16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spans="1:36" ht="16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spans="1:36" ht="16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spans="1:36" ht="16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spans="1:36" ht="16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spans="1:36" ht="16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spans="1:36" ht="16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spans="1:36" ht="16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spans="1:36" ht="16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spans="1:36" ht="16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spans="1:36" ht="16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spans="1:36" ht="16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spans="1:36" ht="16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spans="1:36" ht="16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spans="1:36" ht="16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spans="1:36" ht="16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spans="1:36" ht="16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spans="1:36" ht="16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spans="1:36" ht="16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spans="1:36" ht="16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spans="1:36" ht="16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spans="1:36" ht="16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spans="1:36" ht="16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spans="1:36" ht="16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spans="1:36" ht="16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spans="1:36" ht="16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spans="1:36" ht="16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spans="1:36" ht="16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spans="1:36" ht="16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spans="1:36" ht="16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spans="1:36" ht="16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spans="1:36" ht="16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spans="1:36" ht="16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spans="1:36" ht="16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spans="1:36" ht="16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spans="1:36" ht="16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spans="1:36" ht="16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spans="1:36" ht="16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spans="1:36" ht="16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spans="1:36" ht="16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spans="1:36" ht="16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spans="1:36" ht="16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spans="1:36" ht="16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spans="1:36" ht="16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spans="1:36" ht="16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spans="1:36" ht="16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spans="1:36" ht="16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spans="1:36" ht="16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spans="1:36" ht="16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spans="1:36" ht="16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spans="1:36" ht="16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spans="1:36" ht="16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spans="1:36" ht="16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spans="1:36" ht="16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spans="1:36" ht="16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spans="1:36" ht="16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spans="1:36" ht="16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spans="1:36" ht="16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spans="1:36" ht="16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spans="1:36" ht="16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spans="1:36" ht="16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spans="1:36" ht="16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spans="1:36" ht="16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spans="1:36" ht="16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spans="1:36" ht="16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spans="1:36" ht="16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spans="1:36" ht="16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spans="1:36" ht="16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spans="1:36" ht="16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spans="1:36" ht="16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spans="1:36" ht="16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spans="1:36" ht="16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spans="1:36" ht="16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spans="1:36" ht="16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spans="1:36" ht="16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spans="1:36" ht="16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spans="1:36" ht="16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spans="1:36" ht="16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spans="1:36" ht="16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spans="1:36" ht="16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spans="1:36" ht="16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spans="1:36" ht="16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spans="1:36" ht="16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spans="1:36" ht="16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spans="1:36" ht="16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spans="1:36" ht="16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spans="1:36" ht="16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spans="1:36" ht="16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spans="1:36" ht="16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spans="1:36" ht="16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spans="1:36" ht="16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spans="1:36" ht="16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spans="1:36" ht="16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spans="1:36" ht="16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spans="1:36" ht="16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spans="1:36" ht="16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spans="1:36" ht="16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spans="1:36" ht="16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spans="1:36" ht="16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spans="1:36" ht="16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spans="1:36" ht="16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spans="1:36" ht="16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spans="1:36" ht="16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spans="1:36" ht="16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spans="1:36" ht="16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spans="1:36" ht="16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spans="1:36" ht="16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spans="1:36" ht="16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spans="1:36" ht="16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spans="1:36" ht="16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spans="1:36" ht="16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spans="1:36" ht="16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spans="1:36" ht="16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spans="1:36" ht="16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spans="1:36" ht="16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spans="1:36" ht="16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spans="1:36" ht="16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spans="1:36" ht="16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spans="1:36" ht="16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spans="1:36" ht="16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spans="1:36" ht="16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spans="1:36" ht="16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spans="1:36" ht="16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spans="1:36" ht="16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spans="1:36" ht="16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spans="1:36" ht="16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spans="1:36" ht="16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spans="1:36" ht="16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spans="1:36" ht="16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spans="1:36" ht="16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spans="1:36" ht="16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spans="1:36" ht="16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spans="1:36" ht="16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spans="1:36" ht="16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spans="1:36" ht="16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spans="1:36" ht="16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spans="1:36" ht="16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spans="1:36" ht="16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spans="1:36" ht="16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spans="1:36" ht="16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spans="1:36" ht="16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spans="1:36" ht="16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spans="1:36" ht="16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spans="1:36" ht="16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spans="1:36" ht="16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spans="1:36" ht="16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spans="1:36" ht="16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spans="1:36" ht="16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spans="1:36" ht="16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spans="1:36" ht="16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spans="1:36" ht="16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spans="1:36" ht="16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spans="1:36" ht="16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spans="1:36" ht="16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spans="1:36" ht="16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spans="1:36" ht="16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spans="1:36" ht="16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spans="1:36" ht="16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spans="1:36" ht="16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spans="1:36" ht="16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spans="1:36" ht="16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spans="1:36" ht="16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spans="1:36" ht="16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spans="1:36" ht="16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spans="1:36" ht="16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spans="1:36" ht="16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spans="1:36" ht="16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spans="1:36" ht="16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spans="1:36" ht="16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spans="1:36" ht="16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spans="1:36" ht="16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spans="1:36" ht="16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spans="1:36" ht="16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spans="1:36" ht="16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spans="1:36" ht="16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spans="1:36" ht="16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spans="1:36" ht="16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spans="1:36" ht="16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spans="1:36" ht="16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spans="1:36" ht="16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spans="1:36" ht="16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spans="1:36" ht="16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spans="1:36" ht="16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spans="1:36" ht="16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spans="1:36" ht="16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spans="1:36" ht="16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spans="1:36" ht="16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spans="1:36" ht="16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spans="1:36" ht="16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spans="1:36" ht="16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spans="1:36" ht="16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spans="1:36" ht="16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spans="1:36" ht="16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spans="1:36" ht="16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spans="1:36" ht="16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spans="1:36" ht="16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spans="1:36" ht="16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spans="1:36" ht="16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spans="1:36" ht="16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spans="1:36" ht="16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spans="1:36" ht="16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spans="1:36" ht="16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spans="1:36" ht="16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spans="1:36" ht="16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spans="1:36" ht="16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spans="1:36" ht="16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spans="1:36" ht="16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spans="1:36" ht="16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spans="1:36" ht="16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spans="1:36" ht="16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spans="1:36" ht="16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spans="1:36" ht="16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spans="1:36" ht="16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spans="1:36" ht="16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spans="1:36" ht="16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spans="1:36" ht="16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spans="1:36" ht="16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spans="1:36" ht="16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spans="1:36" ht="16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spans="1:36" ht="16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spans="1:36" ht="16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spans="1:36" ht="16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spans="1:36" ht="16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spans="1:36" ht="16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spans="1:36" ht="16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spans="1:36" ht="16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spans="1:36" ht="16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spans="1:36" ht="16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spans="1:36" ht="16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spans="1:36" ht="16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spans="1:36" ht="16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spans="1:36" ht="16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spans="1:36" ht="16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spans="1:36" ht="16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spans="1:36" ht="16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spans="1:36" ht="16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spans="1:36" ht="16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spans="1:36" ht="16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spans="1:36" ht="16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spans="1:36" ht="16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spans="1:36" ht="16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spans="1:36" ht="16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spans="1:36" ht="16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spans="1:36" ht="16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spans="1:36" ht="16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spans="1:36" ht="16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spans="1:36" ht="16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spans="1:36" ht="16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spans="1:36" ht="16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spans="1:36" ht="16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spans="1:36" ht="16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spans="1:36" ht="16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spans="1:36" ht="16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spans="1:36" ht="16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spans="1:36" ht="16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spans="1:36" ht="16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spans="1:36" ht="16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spans="1:36" ht="16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spans="1:36" ht="16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spans="1:36" ht="16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spans="1:36" ht="16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spans="1:36" ht="16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spans="1:36" ht="16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spans="1:36" ht="16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spans="1:36" ht="16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spans="1:36" ht="16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spans="1:36" ht="16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spans="1:36" ht="16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spans="1:36" ht="16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spans="1:36" ht="16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spans="1:36" ht="16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spans="1:36" ht="16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spans="1:36" ht="16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spans="1:36" ht="16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spans="1:36" ht="16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spans="1:36" ht="16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spans="1:36" ht="16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spans="1:36" ht="16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spans="1:36" ht="16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spans="1:36" ht="16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spans="1:36" ht="16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spans="1:36" ht="16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spans="1:36" ht="16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spans="1:36" ht="16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spans="1:36" ht="16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spans="1:36" ht="16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spans="1:36" ht="16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spans="1:36" ht="16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spans="1:36" ht="16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spans="1:36" ht="16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spans="1:36" ht="16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spans="1:36" ht="16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spans="1:36" ht="16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spans="1:36" ht="16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spans="1:36" ht="16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spans="1:36" ht="16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spans="1:36" ht="16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spans="1:36" ht="16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spans="1:36" ht="16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spans="1:36" ht="16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spans="1:36" ht="16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spans="1:36" ht="16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spans="1:36" ht="16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spans="1:36" ht="16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spans="1:36" ht="16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spans="1:36" ht="16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spans="1:36" ht="16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spans="1:36" ht="16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spans="1:36" ht="16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spans="1:36" ht="16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spans="1:36" ht="16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spans="1:36" ht="16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spans="1:36" ht="16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spans="1:36" ht="16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spans="1:36" ht="16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spans="1:36" ht="16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spans="1:36" ht="16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spans="1:36" ht="16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spans="1:36" ht="16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spans="1:36" ht="16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spans="1:36" ht="16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spans="1:36" ht="16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spans="1:36" ht="16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spans="1:36" ht="16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spans="1:36" ht="16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spans="1:36" ht="16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spans="1:36" ht="16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spans="1:36" ht="16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spans="1:36" ht="16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spans="1:36" ht="16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spans="1:36" ht="16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spans="1:36" ht="16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spans="1:36" ht="16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spans="1:36" ht="16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spans="1:36" ht="16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spans="1:36" ht="16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spans="1:36" ht="16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spans="1:36" ht="16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spans="1:36" ht="16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spans="1:36" ht="16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spans="1:36" ht="16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spans="1:36" ht="16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spans="1:36" ht="16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spans="1:36" ht="16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spans="1:36" ht="16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spans="1:36" ht="16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spans="1:36" ht="16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spans="1:36" ht="16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spans="1:36" ht="16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spans="1:36" ht="16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spans="1:36" ht="16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spans="1:36" ht="16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spans="1:36" ht="16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spans="1:36" ht="16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spans="1:36" ht="16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spans="1:36" ht="16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spans="1:36" ht="16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spans="1:36" ht="16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spans="1:36" ht="16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spans="1:36" ht="16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spans="1:36" ht="16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spans="1:36" ht="16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spans="1:36" ht="16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spans="1:36" ht="16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spans="1:36" ht="16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spans="1:36" ht="16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spans="1:36" ht="16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spans="1:36" ht="16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spans="1:36" ht="16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spans="1:36" ht="16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spans="1:36" ht="16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spans="1:36" ht="16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spans="1:36" ht="16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spans="1:36" ht="16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spans="1:36" ht="16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spans="1:36" ht="16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spans="1:36" ht="16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spans="1:36" ht="16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spans="1:36" ht="16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spans="1:36" ht="16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spans="1:36" ht="16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spans="1:36" ht="16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spans="1:36" ht="16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spans="1:36" ht="16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spans="1:36" ht="16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spans="1:36" ht="16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spans="1:36" ht="16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spans="1:36" ht="16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spans="1:36" ht="16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spans="1:36" ht="16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spans="1:36" ht="16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spans="1:36" ht="16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spans="1:36" ht="16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spans="1:36" ht="16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spans="1:36" ht="16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spans="1:36" ht="16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spans="1:36" ht="16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spans="1:36" ht="16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spans="1:36" ht="16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spans="1:36" ht="16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spans="1:36" ht="16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spans="1:36" ht="16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spans="1:36" ht="16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spans="1:36" ht="16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spans="1:36" ht="16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spans="1:36" ht="16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spans="1:36" ht="16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spans="1:36" ht="16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spans="1:36" ht="16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spans="1:36" ht="16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spans="1:36" ht="16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spans="1:36" ht="16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spans="1:36" ht="16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spans="1:36" ht="16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spans="1:36" ht="16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spans="1:36" ht="16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spans="1:36" ht="16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spans="1:36" ht="16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spans="1:36" ht="16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spans="1:36" ht="16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spans="1:36" ht="16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spans="1:36" ht="16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spans="1:36" ht="16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spans="1:36" ht="16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spans="1:36" ht="16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spans="1:36" ht="16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spans="1:36" ht="16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spans="1:36" ht="16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spans="1:36" ht="16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spans="1:36" ht="16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spans="1:36" ht="16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spans="1:36" ht="16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spans="1:36" ht="16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spans="1:36" ht="16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spans="1:36" ht="16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spans="1:36" ht="16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spans="1:36" ht="16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spans="1:36" ht="16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spans="1:36" ht="16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spans="1:36" ht="16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spans="1:36" ht="16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spans="1:36" ht="16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spans="1:36" ht="16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spans="1:36" ht="16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spans="1:36" ht="16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spans="1:36" ht="16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spans="1:36" ht="16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spans="1:36" ht="16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spans="1:36" ht="16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spans="1:36" ht="16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spans="1:36" ht="16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spans="1:36" ht="16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spans="1:36" ht="16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spans="1:36" ht="16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spans="1:36" ht="16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spans="1:36" ht="16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spans="1:36" ht="16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spans="1:36" ht="16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spans="1:36" ht="16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spans="1:36" ht="16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spans="1:36" ht="16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spans="1:36" ht="16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spans="1:36" ht="16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</sheetData>
  <mergeCells count="184">
    <mergeCell ref="M2:N2"/>
    <mergeCell ref="Q2:R2"/>
    <mergeCell ref="U2:W2"/>
    <mergeCell ref="C4:D4"/>
    <mergeCell ref="B5:D5"/>
    <mergeCell ref="B6:C6"/>
    <mergeCell ref="E6:F6"/>
    <mergeCell ref="H6:I6"/>
    <mergeCell ref="K6:L6"/>
    <mergeCell ref="B2:D2"/>
    <mergeCell ref="E2:F2"/>
    <mergeCell ref="I2:J2"/>
    <mergeCell ref="N6:O6"/>
    <mergeCell ref="Q6:R6"/>
    <mergeCell ref="T6:U6"/>
    <mergeCell ref="B7:D7"/>
    <mergeCell ref="B8:C8"/>
    <mergeCell ref="E8:F8"/>
    <mergeCell ref="H8:I8"/>
    <mergeCell ref="K8:L8"/>
    <mergeCell ref="N8:O8"/>
    <mergeCell ref="Q8:R8"/>
    <mergeCell ref="B11:D11"/>
    <mergeCell ref="B12:C12"/>
    <mergeCell ref="E12:F12"/>
    <mergeCell ref="H12:I12"/>
    <mergeCell ref="K12:L12"/>
    <mergeCell ref="N12:O12"/>
    <mergeCell ref="T8:U8"/>
    <mergeCell ref="B9:D9"/>
    <mergeCell ref="B10:C10"/>
    <mergeCell ref="E10:F10"/>
    <mergeCell ref="H10:I10"/>
    <mergeCell ref="K10:L10"/>
    <mergeCell ref="N10:O10"/>
    <mergeCell ref="Q10:R10"/>
    <mergeCell ref="T10:U10"/>
    <mergeCell ref="B15:D15"/>
    <mergeCell ref="B16:C16"/>
    <mergeCell ref="E16:F16"/>
    <mergeCell ref="H16:I16"/>
    <mergeCell ref="K16:L16"/>
    <mergeCell ref="N16:O16"/>
    <mergeCell ref="Q12:R12"/>
    <mergeCell ref="T12:U12"/>
    <mergeCell ref="B13:D13"/>
    <mergeCell ref="B14:C14"/>
    <mergeCell ref="E14:F14"/>
    <mergeCell ref="H14:I14"/>
    <mergeCell ref="K14:L14"/>
    <mergeCell ref="N14:O14"/>
    <mergeCell ref="Q14:R14"/>
    <mergeCell ref="T14:U14"/>
    <mergeCell ref="B19:D19"/>
    <mergeCell ref="B20:C20"/>
    <mergeCell ref="E20:F20"/>
    <mergeCell ref="H20:I20"/>
    <mergeCell ref="K20:L20"/>
    <mergeCell ref="N20:O20"/>
    <mergeCell ref="Q16:R16"/>
    <mergeCell ref="T16:U16"/>
    <mergeCell ref="B17:D17"/>
    <mergeCell ref="B18:C18"/>
    <mergeCell ref="E18:F18"/>
    <mergeCell ref="H18:I18"/>
    <mergeCell ref="K18:L18"/>
    <mergeCell ref="N18:O18"/>
    <mergeCell ref="Q18:R18"/>
    <mergeCell ref="T18:U18"/>
    <mergeCell ref="B23:D23"/>
    <mergeCell ref="B24:C24"/>
    <mergeCell ref="E24:F24"/>
    <mergeCell ref="H24:I24"/>
    <mergeCell ref="K24:L24"/>
    <mergeCell ref="N24:O24"/>
    <mergeCell ref="Q20:R20"/>
    <mergeCell ref="T20:U20"/>
    <mergeCell ref="B21:D21"/>
    <mergeCell ref="B22:C22"/>
    <mergeCell ref="E22:F22"/>
    <mergeCell ref="H22:I22"/>
    <mergeCell ref="K22:L22"/>
    <mergeCell ref="N22:O22"/>
    <mergeCell ref="Q22:R22"/>
    <mergeCell ref="T22:U22"/>
    <mergeCell ref="B27:D27"/>
    <mergeCell ref="B28:C28"/>
    <mergeCell ref="E28:F28"/>
    <mergeCell ref="H28:I28"/>
    <mergeCell ref="K28:L28"/>
    <mergeCell ref="N28:O28"/>
    <mergeCell ref="Q24:R24"/>
    <mergeCell ref="T24:U24"/>
    <mergeCell ref="B25:D25"/>
    <mergeCell ref="B26:C26"/>
    <mergeCell ref="E26:F26"/>
    <mergeCell ref="H26:I26"/>
    <mergeCell ref="K26:L26"/>
    <mergeCell ref="N26:O26"/>
    <mergeCell ref="Q26:R26"/>
    <mergeCell ref="T26:U26"/>
    <mergeCell ref="B31:D31"/>
    <mergeCell ref="B32:C32"/>
    <mergeCell ref="E32:F32"/>
    <mergeCell ref="H32:I32"/>
    <mergeCell ref="K32:L32"/>
    <mergeCell ref="N32:O32"/>
    <mergeCell ref="Q28:R28"/>
    <mergeCell ref="T28:U28"/>
    <mergeCell ref="B29:D29"/>
    <mergeCell ref="B30:C30"/>
    <mergeCell ref="E30:F30"/>
    <mergeCell ref="H30:I30"/>
    <mergeCell ref="K30:L30"/>
    <mergeCell ref="N30:O30"/>
    <mergeCell ref="Q30:R30"/>
    <mergeCell ref="T30:U30"/>
    <mergeCell ref="B35:D35"/>
    <mergeCell ref="B36:C36"/>
    <mergeCell ref="E36:F36"/>
    <mergeCell ref="H36:I36"/>
    <mergeCell ref="K36:L36"/>
    <mergeCell ref="N36:O36"/>
    <mergeCell ref="Q32:R32"/>
    <mergeCell ref="T32:U32"/>
    <mergeCell ref="B33:D33"/>
    <mergeCell ref="B34:C34"/>
    <mergeCell ref="E34:F34"/>
    <mergeCell ref="H34:I34"/>
    <mergeCell ref="K34:L34"/>
    <mergeCell ref="N34:O34"/>
    <mergeCell ref="Q34:R34"/>
    <mergeCell ref="T34:U34"/>
    <mergeCell ref="B39:D39"/>
    <mergeCell ref="B40:C40"/>
    <mergeCell ref="E40:F40"/>
    <mergeCell ref="H40:I40"/>
    <mergeCell ref="K40:L40"/>
    <mergeCell ref="N40:O40"/>
    <mergeCell ref="Q36:R36"/>
    <mergeCell ref="T36:U36"/>
    <mergeCell ref="B37:D37"/>
    <mergeCell ref="B38:C38"/>
    <mergeCell ref="E38:F38"/>
    <mergeCell ref="H38:I38"/>
    <mergeCell ref="K38:L38"/>
    <mergeCell ref="N38:O38"/>
    <mergeCell ref="Q38:R38"/>
    <mergeCell ref="T38:U38"/>
    <mergeCell ref="B43:D43"/>
    <mergeCell ref="B44:C44"/>
    <mergeCell ref="E44:F44"/>
    <mergeCell ref="H44:I44"/>
    <mergeCell ref="K44:L44"/>
    <mergeCell ref="N44:O44"/>
    <mergeCell ref="Q40:R40"/>
    <mergeCell ref="T40:U40"/>
    <mergeCell ref="B41:D41"/>
    <mergeCell ref="B42:C42"/>
    <mergeCell ref="E42:F42"/>
    <mergeCell ref="H42:I42"/>
    <mergeCell ref="K42:L42"/>
    <mergeCell ref="N42:O42"/>
    <mergeCell ref="Q42:R42"/>
    <mergeCell ref="T42:U42"/>
    <mergeCell ref="Q44:R44"/>
    <mergeCell ref="T44:U44"/>
    <mergeCell ref="B46:J46"/>
    <mergeCell ref="L46:U46"/>
    <mergeCell ref="B47:J53"/>
    <mergeCell ref="L47:S47"/>
    <mergeCell ref="T47:U47"/>
    <mergeCell ref="L48:S48"/>
    <mergeCell ref="T48:U48"/>
    <mergeCell ref="L49:S49"/>
    <mergeCell ref="L53:S53"/>
    <mergeCell ref="T53:U53"/>
    <mergeCell ref="T49:U49"/>
    <mergeCell ref="L50:S50"/>
    <mergeCell ref="T50:U50"/>
    <mergeCell ref="L51:S51"/>
    <mergeCell ref="T51:U51"/>
    <mergeCell ref="L52:S52"/>
    <mergeCell ref="T52:U52"/>
  </mergeCells>
  <conditionalFormatting sqref="E5:AH44">
    <cfRule type="cellIs" dxfId="98" priority="1" operator="equal">
      <formula>"H"</formula>
    </cfRule>
    <cfRule type="cellIs" dxfId="97" priority="6" operator="equal">
      <formula>"I"</formula>
    </cfRule>
    <cfRule type="cellIs" dxfId="96" priority="7" operator="equal">
      <formula>"T"</formula>
    </cfRule>
    <cfRule type="cellIs" dxfId="95" priority="8" operator="equal">
      <formula>"A"</formula>
    </cfRule>
  </conditionalFormatting>
  <conditionalFormatting sqref="G2 K2 O2">
    <cfRule type="cellIs" dxfId="94" priority="2" operator="equal">
      <formula>"I"</formula>
    </cfRule>
    <cfRule type="cellIs" dxfId="93" priority="9" operator="equal">
      <formula>"H"</formula>
    </cfRule>
    <cfRule type="cellIs" dxfId="92" priority="10" operator="equal">
      <formula>"T"</formula>
    </cfRule>
    <cfRule type="cellIs" dxfId="91" priority="11" operator="equal">
      <formula>"A"</formula>
    </cfRule>
  </conditionalFormatting>
  <conditionalFormatting sqref="S2">
    <cfRule type="cellIs" dxfId="90" priority="3" operator="equal">
      <formula>"H"</formula>
    </cfRule>
    <cfRule type="cellIs" dxfId="89" priority="4" operator="equal">
      <formula>"T"</formula>
    </cfRule>
    <cfRule type="cellIs" dxfId="88" priority="5" operator="equal">
      <formula>"A"</formula>
    </cfRule>
  </conditionalFormatting>
  <pageMargins left="0.4" right="0.4" top="0.4" bottom="0.4" header="0" footer="0"/>
  <pageSetup paperSize="3" scale="42"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70223-9D05-4FA2-9E42-FF4E77980471}">
  <sheetPr codeName="Sheet6">
    <tabColor rgb="FFE6D92E"/>
    <outlinePr summaryBelow="0" summaryRight="0"/>
    <pageSetUpPr fitToPage="1"/>
  </sheetPr>
  <dimension ref="A1:AJ650"/>
  <sheetViews>
    <sheetView showGridLines="0" topLeftCell="L41" zoomScaleNormal="100" workbookViewId="0">
      <selection activeCell="L53" sqref="L46:U53"/>
    </sheetView>
  </sheetViews>
  <sheetFormatPr defaultColWidth="14.453125" defaultRowHeight="15.75" customHeight="1" x14ac:dyDescent="0.25"/>
  <cols>
    <col min="1" max="1" width="3.36328125" style="1" customWidth="1"/>
    <col min="2" max="2" width="19.36328125" style="1" customWidth="1"/>
    <col min="3" max="4" width="14.81640625" style="1" customWidth="1"/>
    <col min="5" max="35" width="7.81640625" style="1" customWidth="1"/>
    <col min="36" max="36" width="3.36328125" style="1" customWidth="1"/>
    <col min="37" max="16384" width="14.453125" style="1"/>
  </cols>
  <sheetData>
    <row r="1" spans="1:36" ht="50" customHeight="1" thickBot="1" x14ac:dyDescent="0.4">
      <c r="A1" s="2"/>
      <c r="B1" s="20" t="s">
        <v>56</v>
      </c>
      <c r="C1" s="2"/>
      <c r="D1" s="3"/>
      <c r="E1" s="4"/>
      <c r="F1" s="2"/>
      <c r="G1" s="3"/>
      <c r="H1" s="3"/>
      <c r="I1" s="2"/>
      <c r="J1" s="2"/>
      <c r="K1" s="3"/>
      <c r="L1" s="3"/>
      <c r="M1" s="2"/>
      <c r="N1" s="2"/>
      <c r="O1" s="3"/>
      <c r="P1" s="3"/>
      <c r="R1" s="2"/>
      <c r="S1" s="3"/>
      <c r="T1" s="3"/>
      <c r="V1" s="2"/>
      <c r="X1" s="2"/>
      <c r="Y1" s="2"/>
      <c r="Z1" s="2"/>
      <c r="AA1" s="2"/>
      <c r="AB1" s="2"/>
      <c r="AC1" s="2"/>
      <c r="AD1" s="2"/>
      <c r="AE1" s="2"/>
      <c r="AF1" s="2"/>
      <c r="AH1" s="2"/>
      <c r="AI1" s="2"/>
      <c r="AJ1" s="2"/>
    </row>
    <row r="2" spans="1:36" ht="44" customHeight="1" x14ac:dyDescent="0.35">
      <c r="A2" s="2"/>
      <c r="B2" s="76" t="s">
        <v>3</v>
      </c>
      <c r="C2" s="76"/>
      <c r="D2" s="77"/>
      <c r="E2" s="42" t="s">
        <v>4</v>
      </c>
      <c r="F2" s="43"/>
      <c r="G2" s="21" t="s">
        <v>8</v>
      </c>
      <c r="I2" s="44" t="s">
        <v>5</v>
      </c>
      <c r="J2" s="45"/>
      <c r="K2" s="11" t="s">
        <v>9</v>
      </c>
      <c r="M2" s="46" t="s">
        <v>7</v>
      </c>
      <c r="N2" s="47"/>
      <c r="O2" s="12" t="s">
        <v>10</v>
      </c>
      <c r="Q2" s="46" t="s">
        <v>6</v>
      </c>
      <c r="R2" s="47"/>
      <c r="S2" s="12" t="s">
        <v>0</v>
      </c>
      <c r="T2" s="23"/>
      <c r="U2" s="40"/>
      <c r="V2" s="40"/>
      <c r="W2" s="40"/>
      <c r="X2" s="22"/>
      <c r="AC2" s="2"/>
      <c r="AD2" s="2"/>
      <c r="AE2" s="2"/>
      <c r="AF2" s="2"/>
      <c r="AG2" s="2"/>
      <c r="AH2" s="2"/>
      <c r="AI2" s="2"/>
      <c r="AJ2" s="2"/>
    </row>
    <row r="3" spans="1:36" ht="16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ht="25" customHeight="1" x14ac:dyDescent="0.35">
      <c r="A4" s="2"/>
      <c r="B4" s="25" t="s">
        <v>16</v>
      </c>
      <c r="C4" s="73" t="s">
        <v>58</v>
      </c>
      <c r="D4" s="74"/>
      <c r="E4" s="24">
        <v>1</v>
      </c>
      <c r="F4" s="24">
        <v>2</v>
      </c>
      <c r="G4" s="24">
        <v>3</v>
      </c>
      <c r="H4" s="24">
        <v>4</v>
      </c>
      <c r="I4" s="24">
        <v>5</v>
      </c>
      <c r="J4" s="24">
        <v>6</v>
      </c>
      <c r="K4" s="24">
        <v>7</v>
      </c>
      <c r="L4" s="24">
        <v>8</v>
      </c>
      <c r="M4" s="24">
        <v>9</v>
      </c>
      <c r="N4" s="24">
        <v>10</v>
      </c>
      <c r="O4" s="24">
        <v>11</v>
      </c>
      <c r="P4" s="24">
        <v>12</v>
      </c>
      <c r="Q4" s="24">
        <v>13</v>
      </c>
      <c r="R4" s="24">
        <v>14</v>
      </c>
      <c r="S4" s="24">
        <v>15</v>
      </c>
      <c r="T4" s="24">
        <v>16</v>
      </c>
      <c r="U4" s="24">
        <v>17</v>
      </c>
      <c r="V4" s="24">
        <v>18</v>
      </c>
      <c r="W4" s="24">
        <v>19</v>
      </c>
      <c r="X4" s="24">
        <v>20</v>
      </c>
      <c r="Y4" s="24">
        <v>21</v>
      </c>
      <c r="Z4" s="24">
        <v>22</v>
      </c>
      <c r="AA4" s="24">
        <v>23</v>
      </c>
      <c r="AB4" s="24">
        <v>24</v>
      </c>
      <c r="AC4" s="24">
        <v>25</v>
      </c>
      <c r="AD4" s="24">
        <v>26</v>
      </c>
      <c r="AE4" s="24">
        <v>27</v>
      </c>
      <c r="AF4" s="24">
        <v>28</v>
      </c>
      <c r="AG4" s="24">
        <v>29</v>
      </c>
      <c r="AH4" s="24">
        <v>30</v>
      </c>
      <c r="AI4" s="24">
        <v>31</v>
      </c>
      <c r="AJ4" s="2"/>
    </row>
    <row r="5" spans="1:36" ht="22" customHeight="1" x14ac:dyDescent="0.35">
      <c r="A5" s="2"/>
      <c r="B5" s="75" t="s">
        <v>22</v>
      </c>
      <c r="C5" s="75"/>
      <c r="D5" s="75"/>
      <c r="E5" s="16" t="s">
        <v>10</v>
      </c>
      <c r="F5" s="16" t="s">
        <v>0</v>
      </c>
      <c r="G5" s="17" t="s">
        <v>8</v>
      </c>
      <c r="H5" s="17" t="s">
        <v>8</v>
      </c>
      <c r="I5" s="17" t="s">
        <v>8</v>
      </c>
      <c r="J5" s="17" t="s">
        <v>8</v>
      </c>
      <c r="K5" s="17" t="s">
        <v>8</v>
      </c>
      <c r="L5" s="19" t="s">
        <v>8</v>
      </c>
      <c r="M5" s="19" t="s">
        <v>9</v>
      </c>
      <c r="N5" s="18" t="s">
        <v>9</v>
      </c>
      <c r="O5" s="18" t="s">
        <v>8</v>
      </c>
      <c r="P5" s="18" t="s">
        <v>9</v>
      </c>
      <c r="Q5" s="18" t="s">
        <v>8</v>
      </c>
      <c r="R5" s="18" t="s">
        <v>8</v>
      </c>
      <c r="S5" s="18" t="s">
        <v>8</v>
      </c>
      <c r="T5" s="18" t="s">
        <v>8</v>
      </c>
      <c r="U5" s="18" t="s">
        <v>9</v>
      </c>
      <c r="V5" s="18" t="s">
        <v>8</v>
      </c>
      <c r="W5" s="18" t="s">
        <v>8</v>
      </c>
      <c r="X5" s="18" t="s">
        <v>8</v>
      </c>
      <c r="Y5" s="18" t="s">
        <v>9</v>
      </c>
      <c r="Z5" s="18" t="s">
        <v>0</v>
      </c>
      <c r="AA5" s="18" t="s">
        <v>0</v>
      </c>
      <c r="AB5" s="18" t="s">
        <v>8</v>
      </c>
      <c r="AC5" s="18" t="s">
        <v>8</v>
      </c>
      <c r="AD5" s="18" t="s">
        <v>8</v>
      </c>
      <c r="AE5" s="18" t="s">
        <v>8</v>
      </c>
      <c r="AF5" s="18" t="s">
        <v>8</v>
      </c>
      <c r="AG5" s="18" t="s">
        <v>8</v>
      </c>
      <c r="AH5" s="18" t="s">
        <v>0</v>
      </c>
      <c r="AI5" s="18" t="s">
        <v>8</v>
      </c>
      <c r="AJ5" s="2"/>
    </row>
    <row r="6" spans="1:36" s="8" customFormat="1" ht="22" customHeight="1" thickBot="1" x14ac:dyDescent="0.3">
      <c r="A6" s="6"/>
      <c r="B6" s="65" t="s">
        <v>18</v>
      </c>
      <c r="C6" s="66"/>
      <c r="D6" s="7" t="s">
        <v>17</v>
      </c>
      <c r="E6" s="67" t="s">
        <v>11</v>
      </c>
      <c r="F6" s="68"/>
      <c r="G6" s="13">
        <f>COUNTIF(E5:AI5,"H")</f>
        <v>21</v>
      </c>
      <c r="H6" s="67" t="s">
        <v>12</v>
      </c>
      <c r="I6" s="68"/>
      <c r="J6" s="13">
        <f>COUNTIF(E5:AI5,"T")</f>
        <v>5</v>
      </c>
      <c r="K6" s="67" t="s">
        <v>13</v>
      </c>
      <c r="L6" s="68"/>
      <c r="M6" s="13">
        <f>COUNTIF(E5:AI5,"A") + COUNTIF(E5:AI5,"I")</f>
        <v>5</v>
      </c>
      <c r="N6" s="67" t="s">
        <v>14</v>
      </c>
      <c r="O6" s="68"/>
      <c r="P6" s="13">
        <f>IF((G6+J6+M6)=0,0,(G6+J6)/(G6+J6+M6)*100)</f>
        <v>83.870967741935488</v>
      </c>
      <c r="Q6" s="67"/>
      <c r="R6" s="68"/>
      <c r="S6" s="13"/>
      <c r="T6" s="67"/>
      <c r="U6" s="68"/>
      <c r="V6" s="14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6"/>
    </row>
    <row r="7" spans="1:36" ht="22" customHeight="1" x14ac:dyDescent="0.25">
      <c r="A7" s="5"/>
      <c r="B7" s="72" t="s">
        <v>23</v>
      </c>
      <c r="C7" s="72"/>
      <c r="D7" s="72"/>
      <c r="E7" s="16" t="s">
        <v>8</v>
      </c>
      <c r="F7" s="16" t="s">
        <v>0</v>
      </c>
      <c r="G7" s="17" t="s">
        <v>8</v>
      </c>
      <c r="H7" s="17" t="s">
        <v>8</v>
      </c>
      <c r="I7" s="17" t="s">
        <v>8</v>
      </c>
      <c r="J7" s="17" t="s">
        <v>8</v>
      </c>
      <c r="K7" s="17" t="s">
        <v>8</v>
      </c>
      <c r="L7" s="19" t="s">
        <v>8</v>
      </c>
      <c r="M7" s="19" t="s">
        <v>9</v>
      </c>
      <c r="N7" s="18" t="s">
        <v>9</v>
      </c>
      <c r="O7" s="18" t="s">
        <v>8</v>
      </c>
      <c r="P7" s="18" t="s">
        <v>9</v>
      </c>
      <c r="Q7" s="18" t="s">
        <v>8</v>
      </c>
      <c r="R7" s="18" t="s">
        <v>8</v>
      </c>
      <c r="S7" s="18" t="s">
        <v>8</v>
      </c>
      <c r="T7" s="18" t="s">
        <v>8</v>
      </c>
      <c r="U7" s="18" t="s">
        <v>9</v>
      </c>
      <c r="V7" s="18" t="s">
        <v>8</v>
      </c>
      <c r="W7" s="18" t="s">
        <v>8</v>
      </c>
      <c r="X7" s="18" t="s">
        <v>8</v>
      </c>
      <c r="Y7" s="18" t="s">
        <v>9</v>
      </c>
      <c r="Z7" s="18" t="s">
        <v>0</v>
      </c>
      <c r="AA7" s="18" t="s">
        <v>0</v>
      </c>
      <c r="AB7" s="18" t="s">
        <v>8</v>
      </c>
      <c r="AC7" s="18" t="s">
        <v>8</v>
      </c>
      <c r="AD7" s="18" t="s">
        <v>8</v>
      </c>
      <c r="AE7" s="18" t="s">
        <v>8</v>
      </c>
      <c r="AF7" s="18" t="s">
        <v>8</v>
      </c>
      <c r="AG7" s="18" t="s">
        <v>8</v>
      </c>
      <c r="AH7" s="18" t="s">
        <v>0</v>
      </c>
      <c r="AI7" s="18" t="s">
        <v>8</v>
      </c>
      <c r="AJ7" s="5"/>
    </row>
    <row r="8" spans="1:36" s="8" customFormat="1" ht="22" customHeight="1" thickBot="1" x14ac:dyDescent="0.3">
      <c r="A8" s="6"/>
      <c r="B8" s="65" t="s">
        <v>18</v>
      </c>
      <c r="C8" s="66"/>
      <c r="D8" s="7" t="s">
        <v>17</v>
      </c>
      <c r="E8" s="67" t="s">
        <v>11</v>
      </c>
      <c r="F8" s="68"/>
      <c r="G8" s="13">
        <f>COUNTIF(E7:AI7,"H")</f>
        <v>22</v>
      </c>
      <c r="H8" s="67" t="s">
        <v>12</v>
      </c>
      <c r="I8" s="68"/>
      <c r="J8" s="13">
        <f>COUNTIF(E7:AI7,"T")</f>
        <v>5</v>
      </c>
      <c r="K8" s="67" t="s">
        <v>13</v>
      </c>
      <c r="L8" s="68"/>
      <c r="M8" s="13">
        <f>COUNTIF(E7:AI7,"A") + COUNTIF(E7:AI7,"I")</f>
        <v>4</v>
      </c>
      <c r="N8" s="67" t="s">
        <v>14</v>
      </c>
      <c r="O8" s="68"/>
      <c r="P8" s="13">
        <f>IF((G8+J8+M8)=0,0,(G8+J8)/(G8+J8+M8)*100)</f>
        <v>87.096774193548384</v>
      </c>
      <c r="Q8" s="67"/>
      <c r="R8" s="68"/>
      <c r="S8" s="13"/>
      <c r="T8" s="67"/>
      <c r="U8" s="68"/>
      <c r="V8" s="14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6"/>
    </row>
    <row r="9" spans="1:36" ht="22" customHeight="1" x14ac:dyDescent="0.35">
      <c r="A9" s="2"/>
      <c r="B9" s="72" t="s">
        <v>24</v>
      </c>
      <c r="C9" s="72"/>
      <c r="D9" s="72"/>
      <c r="E9" s="16" t="s">
        <v>8</v>
      </c>
      <c r="F9" s="16" t="s">
        <v>8</v>
      </c>
      <c r="G9" s="17" t="s">
        <v>8</v>
      </c>
      <c r="H9" s="17" t="s">
        <v>8</v>
      </c>
      <c r="I9" s="17" t="s">
        <v>0</v>
      </c>
      <c r="J9" s="17" t="s">
        <v>8</v>
      </c>
      <c r="K9" s="17" t="s">
        <v>9</v>
      </c>
      <c r="L9" s="19" t="s">
        <v>8</v>
      </c>
      <c r="M9" s="19" t="s">
        <v>9</v>
      </c>
      <c r="N9" s="18" t="s">
        <v>8</v>
      </c>
      <c r="O9" s="18" t="s">
        <v>8</v>
      </c>
      <c r="P9" s="18" t="s">
        <v>9</v>
      </c>
      <c r="Q9" s="18" t="s">
        <v>8</v>
      </c>
      <c r="R9" s="18" t="s">
        <v>8</v>
      </c>
      <c r="S9" s="18" t="s">
        <v>9</v>
      </c>
      <c r="T9" s="18" t="s">
        <v>9</v>
      </c>
      <c r="U9" s="18" t="s">
        <v>9</v>
      </c>
      <c r="V9" s="18" t="s">
        <v>0</v>
      </c>
      <c r="W9" s="18" t="s">
        <v>8</v>
      </c>
      <c r="X9" s="18" t="s">
        <v>8</v>
      </c>
      <c r="Y9" s="18" t="s">
        <v>9</v>
      </c>
      <c r="Z9" s="18" t="s">
        <v>0</v>
      </c>
      <c r="AA9" s="18" t="s">
        <v>0</v>
      </c>
      <c r="AB9" s="18" t="s">
        <v>8</v>
      </c>
      <c r="AC9" s="18" t="s">
        <v>8</v>
      </c>
      <c r="AD9" s="18" t="s">
        <v>8</v>
      </c>
      <c r="AE9" s="18" t="s">
        <v>8</v>
      </c>
      <c r="AF9" s="18" t="s">
        <v>8</v>
      </c>
      <c r="AG9" s="18" t="s">
        <v>8</v>
      </c>
      <c r="AH9" s="18" t="s">
        <v>0</v>
      </c>
      <c r="AI9" s="18" t="s">
        <v>8</v>
      </c>
      <c r="AJ9" s="2"/>
    </row>
    <row r="10" spans="1:36" s="8" customFormat="1" ht="22" customHeight="1" thickBot="1" x14ac:dyDescent="0.3">
      <c r="A10" s="6"/>
      <c r="B10" s="65" t="s">
        <v>18</v>
      </c>
      <c r="C10" s="66"/>
      <c r="D10" s="7" t="s">
        <v>17</v>
      </c>
      <c r="E10" s="67" t="s">
        <v>11</v>
      </c>
      <c r="F10" s="68"/>
      <c r="G10" s="13">
        <f>COUNTIF(E9:AI9,"H")</f>
        <v>19</v>
      </c>
      <c r="H10" s="67" t="s">
        <v>12</v>
      </c>
      <c r="I10" s="68"/>
      <c r="J10" s="13">
        <f>COUNTIF(E9:AI9,"T")</f>
        <v>7</v>
      </c>
      <c r="K10" s="67" t="s">
        <v>13</v>
      </c>
      <c r="L10" s="68"/>
      <c r="M10" s="13">
        <f>COUNTIF(E9:AI9,"A") + COUNTIF(E9:AI9,"I")</f>
        <v>5</v>
      </c>
      <c r="N10" s="67" t="s">
        <v>14</v>
      </c>
      <c r="O10" s="68"/>
      <c r="P10" s="13">
        <f>IF((G10+J10+M10)=0,0,(G10+J10)/(G10+J10+M10)*100)</f>
        <v>83.870967741935488</v>
      </c>
      <c r="Q10" s="67"/>
      <c r="R10" s="68"/>
      <c r="S10" s="13"/>
      <c r="T10" s="67"/>
      <c r="U10" s="68"/>
      <c r="V10" s="14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6"/>
    </row>
    <row r="11" spans="1:36" s="10" customFormat="1" ht="22" customHeight="1" x14ac:dyDescent="0.25">
      <c r="A11" s="9"/>
      <c r="B11" s="72" t="s">
        <v>25</v>
      </c>
      <c r="C11" s="72"/>
      <c r="D11" s="72"/>
      <c r="E11" s="16" t="s">
        <v>8</v>
      </c>
      <c r="F11" s="16" t="s">
        <v>0</v>
      </c>
      <c r="G11" s="17" t="s">
        <v>8</v>
      </c>
      <c r="H11" s="17" t="s">
        <v>8</v>
      </c>
      <c r="I11" s="17" t="s">
        <v>8</v>
      </c>
      <c r="J11" s="17" t="s">
        <v>8</v>
      </c>
      <c r="K11" s="17" t="s">
        <v>8</v>
      </c>
      <c r="L11" s="19" t="s">
        <v>8</v>
      </c>
      <c r="M11" s="19" t="s">
        <v>8</v>
      </c>
      <c r="N11" s="18" t="s">
        <v>8</v>
      </c>
      <c r="O11" s="18" t="s">
        <v>8</v>
      </c>
      <c r="P11" s="18" t="s">
        <v>8</v>
      </c>
      <c r="Q11" s="18" t="s">
        <v>8</v>
      </c>
      <c r="R11" s="18" t="s">
        <v>8</v>
      </c>
      <c r="S11" s="18" t="s">
        <v>8</v>
      </c>
      <c r="T11" s="18" t="s">
        <v>8</v>
      </c>
      <c r="U11" s="18" t="s">
        <v>9</v>
      </c>
      <c r="V11" s="18" t="s">
        <v>8</v>
      </c>
      <c r="W11" s="18" t="s">
        <v>8</v>
      </c>
      <c r="X11" s="18" t="s">
        <v>8</v>
      </c>
      <c r="Y11" s="18" t="s">
        <v>8</v>
      </c>
      <c r="Z11" s="18" t="s">
        <v>8</v>
      </c>
      <c r="AA11" s="18" t="s">
        <v>8</v>
      </c>
      <c r="AB11" s="18" t="s">
        <v>8</v>
      </c>
      <c r="AC11" s="18" t="s">
        <v>8</v>
      </c>
      <c r="AD11" s="18" t="s">
        <v>8</v>
      </c>
      <c r="AE11" s="18" t="s">
        <v>8</v>
      </c>
      <c r="AF11" s="18" t="s">
        <v>8</v>
      </c>
      <c r="AG11" s="18" t="s">
        <v>8</v>
      </c>
      <c r="AH11" s="18" t="s">
        <v>0</v>
      </c>
      <c r="AI11" s="18" t="s">
        <v>8</v>
      </c>
      <c r="AJ11" s="9"/>
    </row>
    <row r="12" spans="1:36" s="8" customFormat="1" ht="22" customHeight="1" thickBot="1" x14ac:dyDescent="0.3">
      <c r="A12" s="6"/>
      <c r="B12" s="65" t="s">
        <v>18</v>
      </c>
      <c r="C12" s="66"/>
      <c r="D12" s="7" t="s">
        <v>17</v>
      </c>
      <c r="E12" s="67" t="s">
        <v>11</v>
      </c>
      <c r="F12" s="68"/>
      <c r="G12" s="13">
        <f>COUNTIF(E11:AI11,"H")</f>
        <v>28</v>
      </c>
      <c r="H12" s="67" t="s">
        <v>12</v>
      </c>
      <c r="I12" s="68"/>
      <c r="J12" s="13">
        <f>COUNTIF(E11:AI11,"T")</f>
        <v>1</v>
      </c>
      <c r="K12" s="67" t="s">
        <v>13</v>
      </c>
      <c r="L12" s="68"/>
      <c r="M12" s="13">
        <f>COUNTIF(E11:AI11,"A") + COUNTIF(E11:AI11,"I")</f>
        <v>2</v>
      </c>
      <c r="N12" s="67" t="s">
        <v>14</v>
      </c>
      <c r="O12" s="68"/>
      <c r="P12" s="13">
        <f>IF((G12+J12+M12)=0,0,(G12+J12)/(G12+J12+M12)*100)</f>
        <v>93.548387096774192</v>
      </c>
      <c r="Q12" s="67"/>
      <c r="R12" s="68"/>
      <c r="S12" s="13"/>
      <c r="T12" s="67"/>
      <c r="U12" s="68"/>
      <c r="V12" s="14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6"/>
    </row>
    <row r="13" spans="1:36" s="10" customFormat="1" ht="22" customHeight="1" x14ac:dyDescent="0.25">
      <c r="A13" s="9"/>
      <c r="B13" s="72" t="s">
        <v>26</v>
      </c>
      <c r="C13" s="72"/>
      <c r="D13" s="72"/>
      <c r="E13" s="16" t="s">
        <v>8</v>
      </c>
      <c r="F13" s="16" t="s">
        <v>8</v>
      </c>
      <c r="G13" s="17" t="s">
        <v>8</v>
      </c>
      <c r="H13" s="17" t="s">
        <v>8</v>
      </c>
      <c r="I13" s="17" t="s">
        <v>8</v>
      </c>
      <c r="J13" s="17" t="s">
        <v>0</v>
      </c>
      <c r="K13" s="17" t="s">
        <v>8</v>
      </c>
      <c r="L13" s="19" t="s">
        <v>8</v>
      </c>
      <c r="M13" s="19" t="s">
        <v>8</v>
      </c>
      <c r="N13" s="18" t="s">
        <v>8</v>
      </c>
      <c r="O13" s="18" t="s">
        <v>8</v>
      </c>
      <c r="P13" s="18" t="s">
        <v>9</v>
      </c>
      <c r="Q13" s="18" t="s">
        <v>8</v>
      </c>
      <c r="R13" s="18" t="s">
        <v>8</v>
      </c>
      <c r="S13" s="18" t="s">
        <v>8</v>
      </c>
      <c r="T13" s="18" t="s">
        <v>0</v>
      </c>
      <c r="U13" s="18" t="s">
        <v>9</v>
      </c>
      <c r="V13" s="18" t="s">
        <v>8</v>
      </c>
      <c r="W13" s="18" t="s">
        <v>8</v>
      </c>
      <c r="X13" s="18" t="s">
        <v>0</v>
      </c>
      <c r="Y13" s="18" t="s">
        <v>9</v>
      </c>
      <c r="Z13" s="18" t="s">
        <v>8</v>
      </c>
      <c r="AA13" s="18" t="s">
        <v>8</v>
      </c>
      <c r="AB13" s="18" t="s">
        <v>8</v>
      </c>
      <c r="AC13" s="18" t="s">
        <v>8</v>
      </c>
      <c r="AD13" s="18" t="s">
        <v>8</v>
      </c>
      <c r="AE13" s="18" t="s">
        <v>8</v>
      </c>
      <c r="AF13" s="18" t="s">
        <v>8</v>
      </c>
      <c r="AG13" s="18" t="s">
        <v>8</v>
      </c>
      <c r="AH13" s="18" t="s">
        <v>0</v>
      </c>
      <c r="AI13" s="18" t="s">
        <v>8</v>
      </c>
      <c r="AJ13" s="9"/>
    </row>
    <row r="14" spans="1:36" s="8" customFormat="1" ht="22" customHeight="1" thickBot="1" x14ac:dyDescent="0.3">
      <c r="A14" s="6"/>
      <c r="B14" s="65" t="s">
        <v>18</v>
      </c>
      <c r="C14" s="66"/>
      <c r="D14" s="7" t="s">
        <v>17</v>
      </c>
      <c r="E14" s="67" t="s">
        <v>11</v>
      </c>
      <c r="F14" s="68"/>
      <c r="G14" s="13">
        <f>COUNTIF(E13:AI13,"H")</f>
        <v>24</v>
      </c>
      <c r="H14" s="67" t="s">
        <v>12</v>
      </c>
      <c r="I14" s="68"/>
      <c r="J14" s="13">
        <f>COUNTIF(E13:AI13,"T")</f>
        <v>3</v>
      </c>
      <c r="K14" s="67" t="s">
        <v>13</v>
      </c>
      <c r="L14" s="68"/>
      <c r="M14" s="13">
        <f>COUNTIF(E13:AI13,"A") + COUNTIF(E13:AI13,"I")</f>
        <v>4</v>
      </c>
      <c r="N14" s="67" t="s">
        <v>14</v>
      </c>
      <c r="O14" s="68"/>
      <c r="P14" s="13">
        <f>IF((G14+J14+M14)=0,0,(G14+J14)/(G14+J14+M14)*100)</f>
        <v>87.096774193548384</v>
      </c>
      <c r="Q14" s="67"/>
      <c r="R14" s="68"/>
      <c r="S14" s="13"/>
      <c r="T14" s="67"/>
      <c r="U14" s="68"/>
      <c r="V14" s="14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6"/>
    </row>
    <row r="15" spans="1:36" s="10" customFormat="1" ht="22" customHeight="1" x14ac:dyDescent="0.25">
      <c r="A15" s="9"/>
      <c r="B15" s="72" t="s">
        <v>27</v>
      </c>
      <c r="C15" s="72"/>
      <c r="D15" s="72"/>
      <c r="E15" s="16" t="s">
        <v>8</v>
      </c>
      <c r="F15" s="16" t="s">
        <v>0</v>
      </c>
      <c r="G15" s="17" t="s">
        <v>8</v>
      </c>
      <c r="H15" s="17" t="s">
        <v>8</v>
      </c>
      <c r="I15" s="17" t="s">
        <v>8</v>
      </c>
      <c r="J15" s="17" t="s">
        <v>8</v>
      </c>
      <c r="K15" s="17" t="s">
        <v>8</v>
      </c>
      <c r="L15" s="19" t="s">
        <v>8</v>
      </c>
      <c r="M15" s="19" t="s">
        <v>9</v>
      </c>
      <c r="N15" s="18" t="s">
        <v>9</v>
      </c>
      <c r="O15" s="18" t="s">
        <v>8</v>
      </c>
      <c r="P15" s="18" t="s">
        <v>9</v>
      </c>
      <c r="Q15" s="18" t="s">
        <v>8</v>
      </c>
      <c r="R15" s="18" t="s">
        <v>8</v>
      </c>
      <c r="S15" s="18" t="s">
        <v>8</v>
      </c>
      <c r="T15" s="18" t="s">
        <v>8</v>
      </c>
      <c r="U15" s="18" t="s">
        <v>9</v>
      </c>
      <c r="V15" s="18" t="s">
        <v>8</v>
      </c>
      <c r="W15" s="18" t="s">
        <v>8</v>
      </c>
      <c r="X15" s="18" t="s">
        <v>8</v>
      </c>
      <c r="Y15" s="18" t="s">
        <v>9</v>
      </c>
      <c r="Z15" s="18" t="s">
        <v>0</v>
      </c>
      <c r="AA15" s="18" t="s">
        <v>0</v>
      </c>
      <c r="AB15" s="18" t="s">
        <v>8</v>
      </c>
      <c r="AC15" s="18" t="s">
        <v>8</v>
      </c>
      <c r="AD15" s="18" t="s">
        <v>8</v>
      </c>
      <c r="AE15" s="18" t="s">
        <v>8</v>
      </c>
      <c r="AF15" s="18" t="s">
        <v>8</v>
      </c>
      <c r="AG15" s="18" t="s">
        <v>8</v>
      </c>
      <c r="AH15" s="18" t="s">
        <v>0</v>
      </c>
      <c r="AI15" s="18" t="s">
        <v>8</v>
      </c>
      <c r="AJ15" s="9"/>
    </row>
    <row r="16" spans="1:36" s="8" customFormat="1" ht="22" customHeight="1" thickBot="1" x14ac:dyDescent="0.3">
      <c r="A16" s="6"/>
      <c r="B16" s="65" t="s">
        <v>18</v>
      </c>
      <c r="C16" s="66"/>
      <c r="D16" s="7" t="s">
        <v>17</v>
      </c>
      <c r="E16" s="67" t="s">
        <v>11</v>
      </c>
      <c r="F16" s="68"/>
      <c r="G16" s="13">
        <f>COUNTIF(E15:AI15,"H")</f>
        <v>22</v>
      </c>
      <c r="H16" s="67" t="s">
        <v>12</v>
      </c>
      <c r="I16" s="68"/>
      <c r="J16" s="13">
        <f>COUNTIF(E15:AI15,"T")</f>
        <v>5</v>
      </c>
      <c r="K16" s="67" t="s">
        <v>13</v>
      </c>
      <c r="L16" s="68"/>
      <c r="M16" s="13">
        <f>COUNTIF(E15:AI15,"A") + COUNTIF(E15:AI15,"I")</f>
        <v>4</v>
      </c>
      <c r="N16" s="67" t="s">
        <v>14</v>
      </c>
      <c r="O16" s="68"/>
      <c r="P16" s="13">
        <f>IF((G16+J16+M16)=0,0,(G16+J16)/(G16+J16+M16)*100)</f>
        <v>87.096774193548384</v>
      </c>
      <c r="Q16" s="67"/>
      <c r="R16" s="68"/>
      <c r="S16" s="13"/>
      <c r="T16" s="67"/>
      <c r="U16" s="68"/>
      <c r="V16" s="14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6"/>
    </row>
    <row r="17" spans="1:36" s="10" customFormat="1" ht="22" customHeight="1" x14ac:dyDescent="0.25">
      <c r="A17" s="9"/>
      <c r="B17" s="72" t="s">
        <v>28</v>
      </c>
      <c r="C17" s="72"/>
      <c r="D17" s="72"/>
      <c r="E17" s="16" t="s">
        <v>8</v>
      </c>
      <c r="F17" s="16" t="s">
        <v>0</v>
      </c>
      <c r="G17" s="17" t="s">
        <v>8</v>
      </c>
      <c r="H17" s="17" t="s">
        <v>8</v>
      </c>
      <c r="I17" s="17" t="s">
        <v>8</v>
      </c>
      <c r="J17" s="17" t="s">
        <v>8</v>
      </c>
      <c r="K17" s="17" t="s">
        <v>8</v>
      </c>
      <c r="L17" s="19" t="s">
        <v>8</v>
      </c>
      <c r="M17" s="19" t="s">
        <v>9</v>
      </c>
      <c r="N17" s="18" t="s">
        <v>9</v>
      </c>
      <c r="O17" s="18" t="s">
        <v>8</v>
      </c>
      <c r="P17" s="18" t="s">
        <v>9</v>
      </c>
      <c r="Q17" s="18" t="s">
        <v>8</v>
      </c>
      <c r="R17" s="18" t="s">
        <v>8</v>
      </c>
      <c r="S17" s="18" t="s">
        <v>8</v>
      </c>
      <c r="T17" s="18" t="s">
        <v>8</v>
      </c>
      <c r="U17" s="18" t="s">
        <v>9</v>
      </c>
      <c r="V17" s="18" t="s">
        <v>8</v>
      </c>
      <c r="W17" s="18" t="s">
        <v>8</v>
      </c>
      <c r="X17" s="18" t="s">
        <v>8</v>
      </c>
      <c r="Y17" s="18" t="s">
        <v>9</v>
      </c>
      <c r="Z17" s="18" t="s">
        <v>0</v>
      </c>
      <c r="AA17" s="18" t="s">
        <v>0</v>
      </c>
      <c r="AB17" s="18" t="s">
        <v>8</v>
      </c>
      <c r="AC17" s="18" t="s">
        <v>8</v>
      </c>
      <c r="AD17" s="18" t="s">
        <v>8</v>
      </c>
      <c r="AE17" s="18" t="s">
        <v>8</v>
      </c>
      <c r="AF17" s="18" t="s">
        <v>8</v>
      </c>
      <c r="AG17" s="18" t="s">
        <v>8</v>
      </c>
      <c r="AH17" s="18" t="s">
        <v>0</v>
      </c>
      <c r="AI17" s="18" t="s">
        <v>8</v>
      </c>
      <c r="AJ17" s="9"/>
    </row>
    <row r="18" spans="1:36" s="8" customFormat="1" ht="22" customHeight="1" thickBot="1" x14ac:dyDescent="0.3">
      <c r="A18" s="6"/>
      <c r="B18" s="65" t="s">
        <v>18</v>
      </c>
      <c r="C18" s="66"/>
      <c r="D18" s="7" t="s">
        <v>17</v>
      </c>
      <c r="E18" s="67" t="s">
        <v>11</v>
      </c>
      <c r="F18" s="68"/>
      <c r="G18" s="13">
        <f>COUNTIF(E17:AI17,"H")</f>
        <v>22</v>
      </c>
      <c r="H18" s="67" t="s">
        <v>12</v>
      </c>
      <c r="I18" s="68"/>
      <c r="J18" s="13">
        <f>COUNTIF(E17:AI17,"T")</f>
        <v>5</v>
      </c>
      <c r="K18" s="67" t="s">
        <v>13</v>
      </c>
      <c r="L18" s="68"/>
      <c r="M18" s="13">
        <f>COUNTIF(E17:AI17,"A") + COUNTIF(E17:AI17,"I")</f>
        <v>4</v>
      </c>
      <c r="N18" s="67" t="s">
        <v>14</v>
      </c>
      <c r="O18" s="68"/>
      <c r="P18" s="13">
        <f>IF((G18+J18+M18)=0,0,(G18+J18)/(G18+J18+M18)*100)</f>
        <v>87.096774193548384</v>
      </c>
      <c r="Q18" s="67"/>
      <c r="R18" s="68"/>
      <c r="S18" s="13"/>
      <c r="T18" s="67"/>
      <c r="U18" s="68"/>
      <c r="V18" s="14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6"/>
    </row>
    <row r="19" spans="1:36" s="10" customFormat="1" ht="22" customHeight="1" x14ac:dyDescent="0.25">
      <c r="A19" s="9"/>
      <c r="B19" s="72" t="s">
        <v>29</v>
      </c>
      <c r="C19" s="72"/>
      <c r="D19" s="72"/>
      <c r="E19" s="16" t="s">
        <v>8</v>
      </c>
      <c r="F19" s="16" t="s">
        <v>0</v>
      </c>
      <c r="G19" s="17" t="s">
        <v>8</v>
      </c>
      <c r="H19" s="17" t="s">
        <v>8</v>
      </c>
      <c r="I19" s="17" t="s">
        <v>8</v>
      </c>
      <c r="J19" s="17" t="s">
        <v>8</v>
      </c>
      <c r="K19" s="17" t="s">
        <v>8</v>
      </c>
      <c r="L19" s="19" t="s">
        <v>8</v>
      </c>
      <c r="M19" s="19" t="s">
        <v>9</v>
      </c>
      <c r="N19" s="18" t="s">
        <v>9</v>
      </c>
      <c r="O19" s="18" t="s">
        <v>8</v>
      </c>
      <c r="P19" s="18" t="s">
        <v>9</v>
      </c>
      <c r="Q19" s="18" t="s">
        <v>8</v>
      </c>
      <c r="R19" s="18" t="s">
        <v>8</v>
      </c>
      <c r="S19" s="18" t="s">
        <v>8</v>
      </c>
      <c r="T19" s="18" t="s">
        <v>8</v>
      </c>
      <c r="U19" s="18" t="s">
        <v>9</v>
      </c>
      <c r="V19" s="18" t="s">
        <v>8</v>
      </c>
      <c r="W19" s="18" t="s">
        <v>8</v>
      </c>
      <c r="X19" s="18" t="s">
        <v>8</v>
      </c>
      <c r="Y19" s="18" t="s">
        <v>9</v>
      </c>
      <c r="Z19" s="18" t="s">
        <v>0</v>
      </c>
      <c r="AA19" s="18" t="s">
        <v>0</v>
      </c>
      <c r="AB19" s="18" t="s">
        <v>8</v>
      </c>
      <c r="AC19" s="18" t="s">
        <v>8</v>
      </c>
      <c r="AD19" s="18" t="s">
        <v>8</v>
      </c>
      <c r="AE19" s="18" t="s">
        <v>8</v>
      </c>
      <c r="AF19" s="18" t="s">
        <v>8</v>
      </c>
      <c r="AG19" s="18" t="s">
        <v>8</v>
      </c>
      <c r="AH19" s="18" t="s">
        <v>0</v>
      </c>
      <c r="AI19" s="18" t="s">
        <v>8</v>
      </c>
      <c r="AJ19" s="9"/>
    </row>
    <row r="20" spans="1:36" s="8" customFormat="1" ht="22" customHeight="1" thickBot="1" x14ac:dyDescent="0.3">
      <c r="A20" s="6"/>
      <c r="B20" s="65" t="s">
        <v>18</v>
      </c>
      <c r="C20" s="66"/>
      <c r="D20" s="7" t="s">
        <v>17</v>
      </c>
      <c r="E20" s="67" t="s">
        <v>11</v>
      </c>
      <c r="F20" s="68"/>
      <c r="G20" s="13">
        <f>COUNTIF(E19:AI19,"H")</f>
        <v>22</v>
      </c>
      <c r="H20" s="67" t="s">
        <v>12</v>
      </c>
      <c r="I20" s="68"/>
      <c r="J20" s="13">
        <f>COUNTIF(E19:AI19,"T")</f>
        <v>5</v>
      </c>
      <c r="K20" s="67" t="s">
        <v>13</v>
      </c>
      <c r="L20" s="68"/>
      <c r="M20" s="13">
        <f>COUNTIF(E19:AI19,"A") + COUNTIF(E19:AI19,"I")</f>
        <v>4</v>
      </c>
      <c r="N20" s="67" t="s">
        <v>14</v>
      </c>
      <c r="O20" s="68"/>
      <c r="P20" s="13">
        <f>IF((G20+J20+M20)=0,0,(G20+J20)/(G20+J20+M20)*100)</f>
        <v>87.096774193548384</v>
      </c>
      <c r="Q20" s="67"/>
      <c r="R20" s="68"/>
      <c r="S20" s="13"/>
      <c r="T20" s="67"/>
      <c r="U20" s="68"/>
      <c r="V20" s="14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6"/>
    </row>
    <row r="21" spans="1:36" ht="22" customHeight="1" x14ac:dyDescent="0.35">
      <c r="A21" s="2"/>
      <c r="B21" s="72" t="s">
        <v>30</v>
      </c>
      <c r="C21" s="72"/>
      <c r="D21" s="72"/>
      <c r="E21" s="16" t="s">
        <v>8</v>
      </c>
      <c r="F21" s="16" t="s">
        <v>0</v>
      </c>
      <c r="G21" s="17" t="s">
        <v>8</v>
      </c>
      <c r="H21" s="17" t="s">
        <v>8</v>
      </c>
      <c r="I21" s="17" t="s">
        <v>8</v>
      </c>
      <c r="J21" s="17" t="s">
        <v>8</v>
      </c>
      <c r="K21" s="17" t="s">
        <v>8</v>
      </c>
      <c r="L21" s="19" t="s">
        <v>8</v>
      </c>
      <c r="M21" s="19" t="s">
        <v>9</v>
      </c>
      <c r="N21" s="18" t="s">
        <v>9</v>
      </c>
      <c r="O21" s="18" t="s">
        <v>8</v>
      </c>
      <c r="P21" s="18" t="s">
        <v>9</v>
      </c>
      <c r="Q21" s="18" t="s">
        <v>8</v>
      </c>
      <c r="R21" s="18" t="s">
        <v>8</v>
      </c>
      <c r="S21" s="18" t="s">
        <v>8</v>
      </c>
      <c r="T21" s="18" t="s">
        <v>8</v>
      </c>
      <c r="U21" s="18" t="s">
        <v>9</v>
      </c>
      <c r="V21" s="18" t="s">
        <v>8</v>
      </c>
      <c r="W21" s="18" t="s">
        <v>8</v>
      </c>
      <c r="X21" s="18" t="s">
        <v>8</v>
      </c>
      <c r="Y21" s="18" t="s">
        <v>9</v>
      </c>
      <c r="Z21" s="18" t="s">
        <v>0</v>
      </c>
      <c r="AA21" s="18" t="s">
        <v>0</v>
      </c>
      <c r="AB21" s="18" t="s">
        <v>8</v>
      </c>
      <c r="AC21" s="18" t="s">
        <v>8</v>
      </c>
      <c r="AD21" s="18" t="s">
        <v>8</v>
      </c>
      <c r="AE21" s="18" t="s">
        <v>8</v>
      </c>
      <c r="AF21" s="18" t="s">
        <v>8</v>
      </c>
      <c r="AG21" s="18" t="s">
        <v>8</v>
      </c>
      <c r="AH21" s="18" t="s">
        <v>0</v>
      </c>
      <c r="AI21" s="18" t="s">
        <v>8</v>
      </c>
      <c r="AJ21" s="2"/>
    </row>
    <row r="22" spans="1:36" s="8" customFormat="1" ht="22" customHeight="1" thickBot="1" x14ac:dyDescent="0.3">
      <c r="A22" s="6"/>
      <c r="B22" s="65" t="s">
        <v>18</v>
      </c>
      <c r="C22" s="66"/>
      <c r="D22" s="7" t="s">
        <v>17</v>
      </c>
      <c r="E22" s="67" t="s">
        <v>11</v>
      </c>
      <c r="F22" s="68"/>
      <c r="G22" s="13">
        <f>COUNTIF(E21:AI21,"H")</f>
        <v>22</v>
      </c>
      <c r="H22" s="67" t="s">
        <v>12</v>
      </c>
      <c r="I22" s="68"/>
      <c r="J22" s="13">
        <f>COUNTIF(E21:AI21,"T")</f>
        <v>5</v>
      </c>
      <c r="K22" s="67" t="s">
        <v>13</v>
      </c>
      <c r="L22" s="68"/>
      <c r="M22" s="13">
        <f>COUNTIF(E21:AI21,"A") + COUNTIF(E21:AI21,"I")</f>
        <v>4</v>
      </c>
      <c r="N22" s="67" t="s">
        <v>14</v>
      </c>
      <c r="O22" s="68"/>
      <c r="P22" s="13">
        <f>IF((G22+J22+M22)=0,0,(G22+J22)/(G22+J22+M22)*100)</f>
        <v>87.096774193548384</v>
      </c>
      <c r="Q22" s="67"/>
      <c r="R22" s="68"/>
      <c r="S22" s="13"/>
      <c r="T22" s="67"/>
      <c r="U22" s="68"/>
      <c r="V22" s="14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6"/>
    </row>
    <row r="23" spans="1:36" ht="22" customHeight="1" x14ac:dyDescent="0.35">
      <c r="A23" s="2"/>
      <c r="B23" s="72" t="s">
        <v>31</v>
      </c>
      <c r="C23" s="72"/>
      <c r="D23" s="72"/>
      <c r="E23" s="16" t="s">
        <v>8</v>
      </c>
      <c r="F23" s="16" t="s">
        <v>0</v>
      </c>
      <c r="G23" s="17" t="s">
        <v>8</v>
      </c>
      <c r="H23" s="17" t="s">
        <v>8</v>
      </c>
      <c r="I23" s="17" t="s">
        <v>8</v>
      </c>
      <c r="J23" s="17" t="s">
        <v>8</v>
      </c>
      <c r="K23" s="17" t="s">
        <v>8</v>
      </c>
      <c r="L23" s="19" t="s">
        <v>8</v>
      </c>
      <c r="M23" s="19" t="s">
        <v>9</v>
      </c>
      <c r="N23" s="18" t="s">
        <v>9</v>
      </c>
      <c r="O23" s="18" t="s">
        <v>8</v>
      </c>
      <c r="P23" s="18" t="s">
        <v>9</v>
      </c>
      <c r="Q23" s="18" t="s">
        <v>8</v>
      </c>
      <c r="R23" s="18" t="s">
        <v>8</v>
      </c>
      <c r="S23" s="18" t="s">
        <v>8</v>
      </c>
      <c r="T23" s="18" t="s">
        <v>8</v>
      </c>
      <c r="U23" s="18" t="s">
        <v>9</v>
      </c>
      <c r="V23" s="18" t="s">
        <v>8</v>
      </c>
      <c r="W23" s="18" t="s">
        <v>8</v>
      </c>
      <c r="X23" s="18" t="s">
        <v>8</v>
      </c>
      <c r="Y23" s="18" t="s">
        <v>9</v>
      </c>
      <c r="Z23" s="18" t="s">
        <v>0</v>
      </c>
      <c r="AA23" s="18" t="s">
        <v>0</v>
      </c>
      <c r="AB23" s="18" t="s">
        <v>8</v>
      </c>
      <c r="AC23" s="18" t="s">
        <v>8</v>
      </c>
      <c r="AD23" s="18" t="s">
        <v>8</v>
      </c>
      <c r="AE23" s="18" t="s">
        <v>8</v>
      </c>
      <c r="AF23" s="18" t="s">
        <v>8</v>
      </c>
      <c r="AG23" s="18" t="s">
        <v>8</v>
      </c>
      <c r="AH23" s="18" t="s">
        <v>0</v>
      </c>
      <c r="AI23" s="18" t="s">
        <v>8</v>
      </c>
      <c r="AJ23" s="2"/>
    </row>
    <row r="24" spans="1:36" s="8" customFormat="1" ht="22" customHeight="1" thickBot="1" x14ac:dyDescent="0.3">
      <c r="A24" s="6"/>
      <c r="B24" s="65" t="s">
        <v>18</v>
      </c>
      <c r="C24" s="66"/>
      <c r="D24" s="7" t="s">
        <v>17</v>
      </c>
      <c r="E24" s="67" t="s">
        <v>11</v>
      </c>
      <c r="F24" s="68"/>
      <c r="G24" s="13">
        <f>COUNTIF(E23:AI23,"H")</f>
        <v>22</v>
      </c>
      <c r="H24" s="67" t="s">
        <v>12</v>
      </c>
      <c r="I24" s="68"/>
      <c r="J24" s="13">
        <f>COUNTIF(E23:AI23,"T")</f>
        <v>5</v>
      </c>
      <c r="K24" s="67" t="s">
        <v>13</v>
      </c>
      <c r="L24" s="68"/>
      <c r="M24" s="13">
        <f>COUNTIF(E23:AI23,"A") + COUNTIF(E23:AI23,"I")</f>
        <v>4</v>
      </c>
      <c r="N24" s="67" t="s">
        <v>14</v>
      </c>
      <c r="O24" s="68"/>
      <c r="P24" s="13">
        <f>IF((G24+J24+M24)=0,0,(G24+J24)/(G24+J24+M24)*100)</f>
        <v>87.096774193548384</v>
      </c>
      <c r="Q24" s="67"/>
      <c r="R24" s="68"/>
      <c r="S24" s="13"/>
      <c r="T24" s="67"/>
      <c r="U24" s="68"/>
      <c r="V24" s="14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6"/>
    </row>
    <row r="25" spans="1:36" s="10" customFormat="1" ht="22" customHeight="1" x14ac:dyDescent="0.25">
      <c r="A25" s="9"/>
      <c r="B25" s="72" t="s">
        <v>32</v>
      </c>
      <c r="C25" s="72"/>
      <c r="D25" s="72"/>
      <c r="E25" s="16" t="s">
        <v>8</v>
      </c>
      <c r="F25" s="16" t="s">
        <v>0</v>
      </c>
      <c r="G25" s="17" t="s">
        <v>8</v>
      </c>
      <c r="H25" s="17" t="s">
        <v>8</v>
      </c>
      <c r="I25" s="17" t="s">
        <v>8</v>
      </c>
      <c r="J25" s="17" t="s">
        <v>8</v>
      </c>
      <c r="K25" s="17" t="s">
        <v>8</v>
      </c>
      <c r="L25" s="19" t="s">
        <v>8</v>
      </c>
      <c r="M25" s="19" t="s">
        <v>9</v>
      </c>
      <c r="N25" s="18" t="s">
        <v>9</v>
      </c>
      <c r="O25" s="18" t="s">
        <v>8</v>
      </c>
      <c r="P25" s="18" t="s">
        <v>9</v>
      </c>
      <c r="Q25" s="18" t="s">
        <v>8</v>
      </c>
      <c r="R25" s="18" t="s">
        <v>8</v>
      </c>
      <c r="S25" s="18" t="s">
        <v>8</v>
      </c>
      <c r="T25" s="18" t="s">
        <v>8</v>
      </c>
      <c r="U25" s="18" t="s">
        <v>9</v>
      </c>
      <c r="V25" s="18" t="s">
        <v>8</v>
      </c>
      <c r="W25" s="18" t="s">
        <v>8</v>
      </c>
      <c r="X25" s="18" t="s">
        <v>8</v>
      </c>
      <c r="Y25" s="18" t="s">
        <v>9</v>
      </c>
      <c r="Z25" s="18" t="s">
        <v>0</v>
      </c>
      <c r="AA25" s="18" t="s">
        <v>0</v>
      </c>
      <c r="AB25" s="18" t="s">
        <v>8</v>
      </c>
      <c r="AC25" s="18" t="s">
        <v>8</v>
      </c>
      <c r="AD25" s="18" t="s">
        <v>8</v>
      </c>
      <c r="AE25" s="18" t="s">
        <v>8</v>
      </c>
      <c r="AF25" s="18" t="s">
        <v>8</v>
      </c>
      <c r="AG25" s="18" t="s">
        <v>8</v>
      </c>
      <c r="AH25" s="18" t="s">
        <v>0</v>
      </c>
      <c r="AI25" s="18" t="s">
        <v>8</v>
      </c>
      <c r="AJ25" s="9"/>
    </row>
    <row r="26" spans="1:36" s="8" customFormat="1" ht="22" customHeight="1" thickBot="1" x14ac:dyDescent="0.3">
      <c r="A26" s="6"/>
      <c r="B26" s="65" t="s">
        <v>18</v>
      </c>
      <c r="C26" s="66"/>
      <c r="D26" s="7" t="s">
        <v>17</v>
      </c>
      <c r="E26" s="67" t="s">
        <v>11</v>
      </c>
      <c r="F26" s="68"/>
      <c r="G26" s="13">
        <f>COUNTIF(E25:AI25,"H")</f>
        <v>22</v>
      </c>
      <c r="H26" s="67" t="s">
        <v>12</v>
      </c>
      <c r="I26" s="68"/>
      <c r="J26" s="13">
        <f>COUNTIF(E25:AI25,"T")</f>
        <v>5</v>
      </c>
      <c r="K26" s="67" t="s">
        <v>13</v>
      </c>
      <c r="L26" s="68"/>
      <c r="M26" s="13">
        <f>COUNTIF(E25:AI25,"A") + COUNTIF(E25:AI25,"I")</f>
        <v>4</v>
      </c>
      <c r="N26" s="67" t="s">
        <v>14</v>
      </c>
      <c r="O26" s="68"/>
      <c r="P26" s="13">
        <f>IF((G26+J26+M26)=0,0,(G26+J26)/(G26+J26+M26)*100)</f>
        <v>87.096774193548384</v>
      </c>
      <c r="Q26" s="67"/>
      <c r="R26" s="68"/>
      <c r="S26" s="13"/>
      <c r="T26" s="67"/>
      <c r="U26" s="68"/>
      <c r="V26" s="14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6"/>
    </row>
    <row r="27" spans="1:36" ht="22" customHeight="1" x14ac:dyDescent="0.35">
      <c r="A27" s="2"/>
      <c r="B27" s="72" t="s">
        <v>33</v>
      </c>
      <c r="C27" s="72"/>
      <c r="D27" s="72"/>
      <c r="E27" s="16" t="s">
        <v>8</v>
      </c>
      <c r="F27" s="16" t="s">
        <v>0</v>
      </c>
      <c r="G27" s="17" t="s">
        <v>8</v>
      </c>
      <c r="H27" s="17" t="s">
        <v>8</v>
      </c>
      <c r="I27" s="17" t="s">
        <v>8</v>
      </c>
      <c r="J27" s="17" t="s">
        <v>8</v>
      </c>
      <c r="K27" s="17" t="s">
        <v>8</v>
      </c>
      <c r="L27" s="19" t="s">
        <v>8</v>
      </c>
      <c r="M27" s="19" t="s">
        <v>9</v>
      </c>
      <c r="N27" s="18" t="s">
        <v>9</v>
      </c>
      <c r="O27" s="18" t="s">
        <v>8</v>
      </c>
      <c r="P27" s="18" t="s">
        <v>9</v>
      </c>
      <c r="Q27" s="18" t="s">
        <v>8</v>
      </c>
      <c r="R27" s="18" t="s">
        <v>8</v>
      </c>
      <c r="S27" s="18" t="s">
        <v>8</v>
      </c>
      <c r="T27" s="18" t="s">
        <v>8</v>
      </c>
      <c r="U27" s="18" t="s">
        <v>9</v>
      </c>
      <c r="V27" s="18" t="s">
        <v>8</v>
      </c>
      <c r="W27" s="18" t="s">
        <v>8</v>
      </c>
      <c r="X27" s="18" t="s">
        <v>8</v>
      </c>
      <c r="Y27" s="18" t="s">
        <v>9</v>
      </c>
      <c r="Z27" s="18" t="s">
        <v>0</v>
      </c>
      <c r="AA27" s="18" t="s">
        <v>0</v>
      </c>
      <c r="AB27" s="18" t="s">
        <v>8</v>
      </c>
      <c r="AC27" s="18" t="s">
        <v>8</v>
      </c>
      <c r="AD27" s="18" t="s">
        <v>8</v>
      </c>
      <c r="AE27" s="18" t="s">
        <v>8</v>
      </c>
      <c r="AF27" s="18" t="s">
        <v>8</v>
      </c>
      <c r="AG27" s="18" t="s">
        <v>8</v>
      </c>
      <c r="AH27" s="18" t="s">
        <v>0</v>
      </c>
      <c r="AI27" s="18" t="s">
        <v>8</v>
      </c>
      <c r="AJ27" s="2"/>
    </row>
    <row r="28" spans="1:36" s="8" customFormat="1" ht="22" customHeight="1" thickBot="1" x14ac:dyDescent="0.3">
      <c r="A28" s="6"/>
      <c r="B28" s="65" t="s">
        <v>18</v>
      </c>
      <c r="C28" s="66"/>
      <c r="D28" s="7" t="s">
        <v>17</v>
      </c>
      <c r="E28" s="67" t="s">
        <v>11</v>
      </c>
      <c r="F28" s="68"/>
      <c r="G28" s="13">
        <f>COUNTIF(E27:AI27,"H")</f>
        <v>22</v>
      </c>
      <c r="H28" s="67" t="s">
        <v>12</v>
      </c>
      <c r="I28" s="68"/>
      <c r="J28" s="13">
        <f>COUNTIF(E27:AI27,"T")</f>
        <v>5</v>
      </c>
      <c r="K28" s="67" t="s">
        <v>13</v>
      </c>
      <c r="L28" s="68"/>
      <c r="M28" s="13">
        <f>COUNTIF(E27:AI27,"A") + COUNTIF(E27:AI27,"I")</f>
        <v>4</v>
      </c>
      <c r="N28" s="67" t="s">
        <v>14</v>
      </c>
      <c r="O28" s="68"/>
      <c r="P28" s="13">
        <f>IF((G28+J28+M28)=0,0,(G28+J28)/(G28+J28+M28)*100)</f>
        <v>87.096774193548384</v>
      </c>
      <c r="Q28" s="67"/>
      <c r="R28" s="68"/>
      <c r="S28" s="13"/>
      <c r="T28" s="67"/>
      <c r="U28" s="68"/>
      <c r="V28" s="14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6"/>
    </row>
    <row r="29" spans="1:36" s="10" customFormat="1" ht="22" customHeight="1" x14ac:dyDescent="0.25">
      <c r="A29" s="9"/>
      <c r="B29" s="72" t="s">
        <v>34</v>
      </c>
      <c r="C29" s="72"/>
      <c r="D29" s="72"/>
      <c r="E29" s="16" t="s">
        <v>8</v>
      </c>
      <c r="F29" s="16" t="s">
        <v>0</v>
      </c>
      <c r="G29" s="17" t="s">
        <v>8</v>
      </c>
      <c r="H29" s="17" t="s">
        <v>8</v>
      </c>
      <c r="I29" s="17" t="s">
        <v>8</v>
      </c>
      <c r="J29" s="17" t="s">
        <v>8</v>
      </c>
      <c r="K29" s="17" t="s">
        <v>8</v>
      </c>
      <c r="L29" s="19" t="s">
        <v>8</v>
      </c>
      <c r="M29" s="19" t="s">
        <v>9</v>
      </c>
      <c r="N29" s="18" t="s">
        <v>9</v>
      </c>
      <c r="O29" s="18" t="s">
        <v>8</v>
      </c>
      <c r="P29" s="18" t="s">
        <v>9</v>
      </c>
      <c r="Q29" s="18" t="s">
        <v>8</v>
      </c>
      <c r="R29" s="18" t="s">
        <v>8</v>
      </c>
      <c r="S29" s="18" t="s">
        <v>8</v>
      </c>
      <c r="T29" s="18" t="s">
        <v>8</v>
      </c>
      <c r="U29" s="18" t="s">
        <v>9</v>
      </c>
      <c r="V29" s="18" t="s">
        <v>8</v>
      </c>
      <c r="W29" s="18" t="s">
        <v>8</v>
      </c>
      <c r="X29" s="18" t="s">
        <v>8</v>
      </c>
      <c r="Y29" s="18" t="s">
        <v>9</v>
      </c>
      <c r="Z29" s="18" t="s">
        <v>0</v>
      </c>
      <c r="AA29" s="18" t="s">
        <v>0</v>
      </c>
      <c r="AB29" s="18" t="s">
        <v>8</v>
      </c>
      <c r="AC29" s="18" t="s">
        <v>8</v>
      </c>
      <c r="AD29" s="18" t="s">
        <v>8</v>
      </c>
      <c r="AE29" s="18" t="s">
        <v>8</v>
      </c>
      <c r="AF29" s="18" t="s">
        <v>8</v>
      </c>
      <c r="AG29" s="18" t="s">
        <v>8</v>
      </c>
      <c r="AH29" s="18" t="s">
        <v>0</v>
      </c>
      <c r="AI29" s="18" t="s">
        <v>8</v>
      </c>
      <c r="AJ29" s="9"/>
    </row>
    <row r="30" spans="1:36" s="8" customFormat="1" ht="22" customHeight="1" thickBot="1" x14ac:dyDescent="0.3">
      <c r="A30" s="6"/>
      <c r="B30" s="65" t="s">
        <v>18</v>
      </c>
      <c r="C30" s="66"/>
      <c r="D30" s="7" t="s">
        <v>17</v>
      </c>
      <c r="E30" s="67" t="s">
        <v>11</v>
      </c>
      <c r="F30" s="68"/>
      <c r="G30" s="13">
        <f>COUNTIF(E29:AI29,"H")</f>
        <v>22</v>
      </c>
      <c r="H30" s="67" t="s">
        <v>12</v>
      </c>
      <c r="I30" s="68"/>
      <c r="J30" s="13">
        <f>COUNTIF(E29:AI29,"T")</f>
        <v>5</v>
      </c>
      <c r="K30" s="67" t="s">
        <v>13</v>
      </c>
      <c r="L30" s="68"/>
      <c r="M30" s="13">
        <f>COUNTIF(E29:AI29,"A") + COUNTIF(E29:AI29,"I")</f>
        <v>4</v>
      </c>
      <c r="N30" s="67" t="s">
        <v>14</v>
      </c>
      <c r="O30" s="68"/>
      <c r="P30" s="13">
        <f>IF((G30+J30+M30)=0,0,(G30+J30)/(G30+J30+M30)*100)</f>
        <v>87.096774193548384</v>
      </c>
      <c r="Q30" s="67"/>
      <c r="R30" s="68"/>
      <c r="S30" s="13"/>
      <c r="T30" s="67"/>
      <c r="U30" s="68"/>
      <c r="V30" s="14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6"/>
    </row>
    <row r="31" spans="1:36" ht="22" customHeight="1" x14ac:dyDescent="0.35">
      <c r="A31" s="2"/>
      <c r="B31" s="72" t="s">
        <v>35</v>
      </c>
      <c r="C31" s="72"/>
      <c r="D31" s="72"/>
      <c r="E31" s="16" t="s">
        <v>8</v>
      </c>
      <c r="F31" s="16" t="s">
        <v>0</v>
      </c>
      <c r="G31" s="17" t="s">
        <v>8</v>
      </c>
      <c r="H31" s="17" t="s">
        <v>8</v>
      </c>
      <c r="I31" s="17" t="s">
        <v>8</v>
      </c>
      <c r="J31" s="17" t="s">
        <v>8</v>
      </c>
      <c r="K31" s="17" t="s">
        <v>8</v>
      </c>
      <c r="L31" s="19" t="s">
        <v>8</v>
      </c>
      <c r="M31" s="19" t="s">
        <v>9</v>
      </c>
      <c r="N31" s="18" t="s">
        <v>9</v>
      </c>
      <c r="O31" s="18" t="s">
        <v>8</v>
      </c>
      <c r="P31" s="18" t="s">
        <v>9</v>
      </c>
      <c r="Q31" s="18" t="s">
        <v>8</v>
      </c>
      <c r="R31" s="18" t="s">
        <v>8</v>
      </c>
      <c r="S31" s="18" t="s">
        <v>8</v>
      </c>
      <c r="T31" s="18" t="s">
        <v>8</v>
      </c>
      <c r="U31" s="18" t="s">
        <v>9</v>
      </c>
      <c r="V31" s="18" t="s">
        <v>8</v>
      </c>
      <c r="W31" s="18" t="s">
        <v>8</v>
      </c>
      <c r="X31" s="18" t="s">
        <v>8</v>
      </c>
      <c r="Y31" s="18" t="s">
        <v>9</v>
      </c>
      <c r="Z31" s="18" t="s">
        <v>0</v>
      </c>
      <c r="AA31" s="18" t="s">
        <v>0</v>
      </c>
      <c r="AB31" s="18" t="s">
        <v>8</v>
      </c>
      <c r="AC31" s="18" t="s">
        <v>8</v>
      </c>
      <c r="AD31" s="18" t="s">
        <v>8</v>
      </c>
      <c r="AE31" s="18" t="s">
        <v>8</v>
      </c>
      <c r="AF31" s="18" t="s">
        <v>8</v>
      </c>
      <c r="AG31" s="18" t="s">
        <v>8</v>
      </c>
      <c r="AH31" s="18" t="s">
        <v>0</v>
      </c>
      <c r="AI31" s="18" t="s">
        <v>8</v>
      </c>
      <c r="AJ31" s="2"/>
    </row>
    <row r="32" spans="1:36" s="8" customFormat="1" ht="22" customHeight="1" thickBot="1" x14ac:dyDescent="0.3">
      <c r="A32" s="6"/>
      <c r="B32" s="65" t="s">
        <v>18</v>
      </c>
      <c r="C32" s="66"/>
      <c r="D32" s="7" t="s">
        <v>17</v>
      </c>
      <c r="E32" s="67" t="s">
        <v>11</v>
      </c>
      <c r="F32" s="68"/>
      <c r="G32" s="13">
        <f>COUNTIF(E31:AI31,"H")</f>
        <v>22</v>
      </c>
      <c r="H32" s="67" t="s">
        <v>12</v>
      </c>
      <c r="I32" s="68"/>
      <c r="J32" s="13">
        <f>COUNTIF(E31:AI31,"T")</f>
        <v>5</v>
      </c>
      <c r="K32" s="67" t="s">
        <v>13</v>
      </c>
      <c r="L32" s="68"/>
      <c r="M32" s="13">
        <f>COUNTIF(E31:AI31,"A") + COUNTIF(E31:AI31,"I")</f>
        <v>4</v>
      </c>
      <c r="N32" s="67" t="s">
        <v>14</v>
      </c>
      <c r="O32" s="68"/>
      <c r="P32" s="13">
        <f>IF((G32+J32+M32)=0,0,(G32+J32)/(G32+J32+M32)*100)</f>
        <v>87.096774193548384</v>
      </c>
      <c r="Q32" s="67"/>
      <c r="R32" s="68"/>
      <c r="S32" s="13"/>
      <c r="T32" s="67"/>
      <c r="U32" s="68"/>
      <c r="V32" s="14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6"/>
    </row>
    <row r="33" spans="1:36" ht="22" customHeight="1" x14ac:dyDescent="0.35">
      <c r="A33" s="2"/>
      <c r="B33" s="72" t="s">
        <v>36</v>
      </c>
      <c r="C33" s="72"/>
      <c r="D33" s="72"/>
      <c r="E33" s="16" t="s">
        <v>8</v>
      </c>
      <c r="F33" s="16" t="s">
        <v>0</v>
      </c>
      <c r="G33" s="17" t="s">
        <v>8</v>
      </c>
      <c r="H33" s="17" t="s">
        <v>8</v>
      </c>
      <c r="I33" s="17" t="s">
        <v>8</v>
      </c>
      <c r="J33" s="17" t="s">
        <v>8</v>
      </c>
      <c r="K33" s="17" t="s">
        <v>8</v>
      </c>
      <c r="L33" s="19" t="s">
        <v>8</v>
      </c>
      <c r="M33" s="19" t="s">
        <v>9</v>
      </c>
      <c r="N33" s="18" t="s">
        <v>9</v>
      </c>
      <c r="O33" s="18" t="s">
        <v>8</v>
      </c>
      <c r="P33" s="18" t="s">
        <v>9</v>
      </c>
      <c r="Q33" s="18" t="s">
        <v>8</v>
      </c>
      <c r="R33" s="18" t="s">
        <v>8</v>
      </c>
      <c r="S33" s="18" t="s">
        <v>8</v>
      </c>
      <c r="T33" s="18" t="s">
        <v>8</v>
      </c>
      <c r="U33" s="18" t="s">
        <v>9</v>
      </c>
      <c r="V33" s="18" t="s">
        <v>8</v>
      </c>
      <c r="W33" s="18" t="s">
        <v>8</v>
      </c>
      <c r="X33" s="18" t="s">
        <v>8</v>
      </c>
      <c r="Y33" s="18" t="s">
        <v>9</v>
      </c>
      <c r="Z33" s="18" t="s">
        <v>0</v>
      </c>
      <c r="AA33" s="18" t="s">
        <v>0</v>
      </c>
      <c r="AB33" s="18" t="s">
        <v>8</v>
      </c>
      <c r="AC33" s="18" t="s">
        <v>8</v>
      </c>
      <c r="AD33" s="18" t="s">
        <v>8</v>
      </c>
      <c r="AE33" s="18" t="s">
        <v>8</v>
      </c>
      <c r="AF33" s="18" t="s">
        <v>8</v>
      </c>
      <c r="AG33" s="18" t="s">
        <v>8</v>
      </c>
      <c r="AH33" s="18" t="s">
        <v>0</v>
      </c>
      <c r="AI33" s="18" t="s">
        <v>8</v>
      </c>
      <c r="AJ33" s="2"/>
    </row>
    <row r="34" spans="1:36" s="8" customFormat="1" ht="22" customHeight="1" thickBot="1" x14ac:dyDescent="0.3">
      <c r="A34" s="6"/>
      <c r="B34" s="65" t="s">
        <v>18</v>
      </c>
      <c r="C34" s="66"/>
      <c r="D34" s="7" t="s">
        <v>17</v>
      </c>
      <c r="E34" s="67" t="s">
        <v>11</v>
      </c>
      <c r="F34" s="68"/>
      <c r="G34" s="13">
        <f>COUNTIF(E33:AI33,"H")</f>
        <v>22</v>
      </c>
      <c r="H34" s="67" t="s">
        <v>12</v>
      </c>
      <c r="I34" s="68"/>
      <c r="J34" s="13">
        <f>COUNTIF(E33:AI33,"T")</f>
        <v>5</v>
      </c>
      <c r="K34" s="67" t="s">
        <v>13</v>
      </c>
      <c r="L34" s="68"/>
      <c r="M34" s="13">
        <f>COUNTIF(E33:AI33,"A") + COUNTIF(E33:AI33,"I")</f>
        <v>4</v>
      </c>
      <c r="N34" s="67" t="s">
        <v>14</v>
      </c>
      <c r="O34" s="68"/>
      <c r="P34" s="13">
        <f>IF((G34+J34+M34)=0,0,(G34+J34)/(G34+J34+M34)*100)</f>
        <v>87.096774193548384</v>
      </c>
      <c r="Q34" s="67"/>
      <c r="R34" s="68"/>
      <c r="S34" s="13"/>
      <c r="T34" s="67"/>
      <c r="U34" s="68"/>
      <c r="V34" s="14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6"/>
    </row>
    <row r="35" spans="1:36" s="10" customFormat="1" ht="22" customHeight="1" x14ac:dyDescent="0.25">
      <c r="A35" s="9"/>
      <c r="B35" s="69" t="s">
        <v>37</v>
      </c>
      <c r="C35" s="70"/>
      <c r="D35" s="71"/>
      <c r="E35" s="16" t="s">
        <v>8</v>
      </c>
      <c r="F35" s="16" t="s">
        <v>0</v>
      </c>
      <c r="G35" s="17" t="s">
        <v>8</v>
      </c>
      <c r="H35" s="17" t="s">
        <v>8</v>
      </c>
      <c r="I35" s="17" t="s">
        <v>8</v>
      </c>
      <c r="J35" s="17" t="s">
        <v>8</v>
      </c>
      <c r="K35" s="17" t="s">
        <v>8</v>
      </c>
      <c r="L35" s="19" t="s">
        <v>8</v>
      </c>
      <c r="M35" s="19" t="s">
        <v>9</v>
      </c>
      <c r="N35" s="18" t="s">
        <v>9</v>
      </c>
      <c r="O35" s="18" t="s">
        <v>8</v>
      </c>
      <c r="P35" s="18" t="s">
        <v>9</v>
      </c>
      <c r="Q35" s="18" t="s">
        <v>8</v>
      </c>
      <c r="R35" s="18" t="s">
        <v>8</v>
      </c>
      <c r="S35" s="18" t="s">
        <v>8</v>
      </c>
      <c r="T35" s="18" t="s">
        <v>8</v>
      </c>
      <c r="U35" s="18" t="s">
        <v>9</v>
      </c>
      <c r="V35" s="18" t="s">
        <v>8</v>
      </c>
      <c r="W35" s="18" t="s">
        <v>8</v>
      </c>
      <c r="X35" s="18" t="s">
        <v>8</v>
      </c>
      <c r="Y35" s="18" t="s">
        <v>9</v>
      </c>
      <c r="Z35" s="18" t="s">
        <v>0</v>
      </c>
      <c r="AA35" s="18" t="s">
        <v>0</v>
      </c>
      <c r="AB35" s="18" t="s">
        <v>8</v>
      </c>
      <c r="AC35" s="18" t="s">
        <v>8</v>
      </c>
      <c r="AD35" s="18" t="s">
        <v>8</v>
      </c>
      <c r="AE35" s="18" t="s">
        <v>8</v>
      </c>
      <c r="AF35" s="18" t="s">
        <v>8</v>
      </c>
      <c r="AG35" s="18" t="s">
        <v>8</v>
      </c>
      <c r="AH35" s="18" t="s">
        <v>0</v>
      </c>
      <c r="AI35" s="18" t="s">
        <v>8</v>
      </c>
      <c r="AJ35" s="9"/>
    </row>
    <row r="36" spans="1:36" s="8" customFormat="1" ht="22" customHeight="1" thickBot="1" x14ac:dyDescent="0.3">
      <c r="A36" s="6"/>
      <c r="B36" s="65" t="s">
        <v>18</v>
      </c>
      <c r="C36" s="66"/>
      <c r="D36" s="7" t="s">
        <v>17</v>
      </c>
      <c r="E36" s="67" t="s">
        <v>11</v>
      </c>
      <c r="F36" s="68"/>
      <c r="G36" s="13">
        <f>COUNTIF(E35:AI35,"H")</f>
        <v>22</v>
      </c>
      <c r="H36" s="67" t="s">
        <v>12</v>
      </c>
      <c r="I36" s="68"/>
      <c r="J36" s="13">
        <f>COUNTIF(E35:AI35,"T")</f>
        <v>5</v>
      </c>
      <c r="K36" s="67" t="s">
        <v>13</v>
      </c>
      <c r="L36" s="68"/>
      <c r="M36" s="13">
        <f>COUNTIF(E35:AI35,"A") + COUNTIF(E35:AI35,"I")</f>
        <v>4</v>
      </c>
      <c r="N36" s="67" t="s">
        <v>14</v>
      </c>
      <c r="O36" s="68"/>
      <c r="P36" s="13">
        <f>IF((G36+J36+M36)=0,0,(G36+J36)/(G36+J36+M36)*100)</f>
        <v>87.096774193548384</v>
      </c>
      <c r="Q36" s="67"/>
      <c r="R36" s="68"/>
      <c r="S36" s="13"/>
      <c r="T36" s="67"/>
      <c r="U36" s="68"/>
      <c r="V36" s="14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6"/>
    </row>
    <row r="37" spans="1:36" s="10" customFormat="1" ht="22" customHeight="1" x14ac:dyDescent="0.25">
      <c r="A37" s="9"/>
      <c r="B37" s="69" t="s">
        <v>38</v>
      </c>
      <c r="C37" s="70"/>
      <c r="D37" s="71"/>
      <c r="E37" s="16" t="s">
        <v>8</v>
      </c>
      <c r="F37" s="16" t="s">
        <v>0</v>
      </c>
      <c r="G37" s="17" t="s">
        <v>8</v>
      </c>
      <c r="H37" s="17" t="s">
        <v>8</v>
      </c>
      <c r="I37" s="17" t="s">
        <v>8</v>
      </c>
      <c r="J37" s="17" t="s">
        <v>8</v>
      </c>
      <c r="K37" s="17" t="s">
        <v>8</v>
      </c>
      <c r="L37" s="19" t="s">
        <v>8</v>
      </c>
      <c r="M37" s="19" t="s">
        <v>9</v>
      </c>
      <c r="N37" s="18" t="s">
        <v>9</v>
      </c>
      <c r="O37" s="18" t="s">
        <v>8</v>
      </c>
      <c r="P37" s="18" t="s">
        <v>9</v>
      </c>
      <c r="Q37" s="18" t="s">
        <v>8</v>
      </c>
      <c r="R37" s="18" t="s">
        <v>8</v>
      </c>
      <c r="S37" s="18" t="s">
        <v>8</v>
      </c>
      <c r="T37" s="18" t="s">
        <v>8</v>
      </c>
      <c r="U37" s="18" t="s">
        <v>9</v>
      </c>
      <c r="V37" s="18" t="s">
        <v>8</v>
      </c>
      <c r="W37" s="18" t="s">
        <v>8</v>
      </c>
      <c r="X37" s="18" t="s">
        <v>8</v>
      </c>
      <c r="Y37" s="18" t="s">
        <v>9</v>
      </c>
      <c r="Z37" s="18" t="s">
        <v>0</v>
      </c>
      <c r="AA37" s="18" t="s">
        <v>0</v>
      </c>
      <c r="AB37" s="18" t="s">
        <v>8</v>
      </c>
      <c r="AC37" s="18" t="s">
        <v>8</v>
      </c>
      <c r="AD37" s="18" t="s">
        <v>8</v>
      </c>
      <c r="AE37" s="18" t="s">
        <v>8</v>
      </c>
      <c r="AF37" s="18" t="s">
        <v>8</v>
      </c>
      <c r="AG37" s="18" t="s">
        <v>8</v>
      </c>
      <c r="AH37" s="18" t="s">
        <v>0</v>
      </c>
      <c r="AI37" s="18" t="s">
        <v>8</v>
      </c>
      <c r="AJ37" s="9"/>
    </row>
    <row r="38" spans="1:36" s="8" customFormat="1" ht="22" customHeight="1" thickBot="1" x14ac:dyDescent="0.3">
      <c r="A38" s="6"/>
      <c r="B38" s="65" t="s">
        <v>18</v>
      </c>
      <c r="C38" s="66"/>
      <c r="D38" s="7" t="s">
        <v>17</v>
      </c>
      <c r="E38" s="67" t="s">
        <v>11</v>
      </c>
      <c r="F38" s="68"/>
      <c r="G38" s="13">
        <f>COUNTIF(E37:AI37,"H")</f>
        <v>22</v>
      </c>
      <c r="H38" s="67" t="s">
        <v>12</v>
      </c>
      <c r="I38" s="68"/>
      <c r="J38" s="13">
        <f>COUNTIF(E37:AI37,"T")</f>
        <v>5</v>
      </c>
      <c r="K38" s="67" t="s">
        <v>13</v>
      </c>
      <c r="L38" s="68"/>
      <c r="M38" s="13">
        <f>COUNTIF(E37:AI37,"A") + COUNTIF(E37:AI37,"I")</f>
        <v>4</v>
      </c>
      <c r="N38" s="67" t="s">
        <v>14</v>
      </c>
      <c r="O38" s="68"/>
      <c r="P38" s="13">
        <f>IF((G38+J38+M38)=0,0,(G38+J38)/(G38+J38+M38)*100)</f>
        <v>87.096774193548384</v>
      </c>
      <c r="Q38" s="67"/>
      <c r="R38" s="68"/>
      <c r="S38" s="13"/>
      <c r="T38" s="67"/>
      <c r="U38" s="68"/>
      <c r="V38" s="14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6"/>
    </row>
    <row r="39" spans="1:36" s="10" customFormat="1" ht="22" customHeight="1" x14ac:dyDescent="0.25">
      <c r="A39" s="9"/>
      <c r="B39" s="69" t="s">
        <v>39</v>
      </c>
      <c r="C39" s="70"/>
      <c r="D39" s="71"/>
      <c r="E39" s="16" t="s">
        <v>8</v>
      </c>
      <c r="F39" s="16" t="s">
        <v>0</v>
      </c>
      <c r="G39" s="17" t="s">
        <v>8</v>
      </c>
      <c r="H39" s="17" t="s">
        <v>8</v>
      </c>
      <c r="I39" s="17" t="s">
        <v>8</v>
      </c>
      <c r="J39" s="17" t="s">
        <v>8</v>
      </c>
      <c r="K39" s="17" t="s">
        <v>8</v>
      </c>
      <c r="L39" s="19" t="s">
        <v>8</v>
      </c>
      <c r="M39" s="19" t="s">
        <v>9</v>
      </c>
      <c r="N39" s="18" t="s">
        <v>9</v>
      </c>
      <c r="O39" s="18" t="s">
        <v>8</v>
      </c>
      <c r="P39" s="18" t="s">
        <v>9</v>
      </c>
      <c r="Q39" s="18" t="s">
        <v>8</v>
      </c>
      <c r="R39" s="18" t="s">
        <v>8</v>
      </c>
      <c r="S39" s="18" t="s">
        <v>8</v>
      </c>
      <c r="T39" s="18" t="s">
        <v>8</v>
      </c>
      <c r="U39" s="18" t="s">
        <v>9</v>
      </c>
      <c r="V39" s="18" t="s">
        <v>8</v>
      </c>
      <c r="W39" s="18" t="s">
        <v>8</v>
      </c>
      <c r="X39" s="18" t="s">
        <v>8</v>
      </c>
      <c r="Y39" s="18" t="s">
        <v>9</v>
      </c>
      <c r="Z39" s="18" t="s">
        <v>0</v>
      </c>
      <c r="AA39" s="18" t="s">
        <v>0</v>
      </c>
      <c r="AB39" s="18" t="s">
        <v>8</v>
      </c>
      <c r="AC39" s="18" t="s">
        <v>8</v>
      </c>
      <c r="AD39" s="18" t="s">
        <v>8</v>
      </c>
      <c r="AE39" s="18" t="s">
        <v>8</v>
      </c>
      <c r="AF39" s="18" t="s">
        <v>8</v>
      </c>
      <c r="AG39" s="18" t="s">
        <v>8</v>
      </c>
      <c r="AH39" s="18" t="s">
        <v>0</v>
      </c>
      <c r="AI39" s="18" t="s">
        <v>8</v>
      </c>
      <c r="AJ39" s="9"/>
    </row>
    <row r="40" spans="1:36" s="8" customFormat="1" ht="22" customHeight="1" thickBot="1" x14ac:dyDescent="0.3">
      <c r="A40" s="6"/>
      <c r="B40" s="65" t="s">
        <v>18</v>
      </c>
      <c r="C40" s="66"/>
      <c r="D40" s="7" t="s">
        <v>17</v>
      </c>
      <c r="E40" s="67" t="s">
        <v>11</v>
      </c>
      <c r="F40" s="68"/>
      <c r="G40" s="13">
        <f>COUNTIF(E39:AI39,"H")</f>
        <v>22</v>
      </c>
      <c r="H40" s="67" t="s">
        <v>12</v>
      </c>
      <c r="I40" s="68"/>
      <c r="J40" s="13">
        <f>COUNTIF(E39:AI39,"T")</f>
        <v>5</v>
      </c>
      <c r="K40" s="67" t="s">
        <v>13</v>
      </c>
      <c r="L40" s="68"/>
      <c r="M40" s="13">
        <f>COUNTIF(E39:AI39,"A") + COUNTIF(E39:AI39,"I")</f>
        <v>4</v>
      </c>
      <c r="N40" s="67" t="s">
        <v>14</v>
      </c>
      <c r="O40" s="68"/>
      <c r="P40" s="13">
        <f>IF((G40+J40+M40)=0,0,(G40+J40)/(G40+J40+M40)*100)</f>
        <v>87.096774193548384</v>
      </c>
      <c r="Q40" s="67"/>
      <c r="R40" s="68"/>
      <c r="S40" s="13"/>
      <c r="T40" s="67"/>
      <c r="U40" s="68"/>
      <c r="V40" s="14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6"/>
    </row>
    <row r="41" spans="1:36" s="10" customFormat="1" ht="22" customHeight="1" x14ac:dyDescent="0.25">
      <c r="A41" s="9"/>
      <c r="B41" s="69" t="s">
        <v>40</v>
      </c>
      <c r="C41" s="70"/>
      <c r="D41" s="71"/>
      <c r="E41" s="16" t="s">
        <v>8</v>
      </c>
      <c r="F41" s="16" t="s">
        <v>0</v>
      </c>
      <c r="G41" s="17" t="s">
        <v>8</v>
      </c>
      <c r="H41" s="17" t="s">
        <v>8</v>
      </c>
      <c r="I41" s="17" t="s">
        <v>8</v>
      </c>
      <c r="J41" s="17" t="s">
        <v>8</v>
      </c>
      <c r="K41" s="17" t="s">
        <v>8</v>
      </c>
      <c r="L41" s="19" t="s">
        <v>8</v>
      </c>
      <c r="M41" s="19" t="s">
        <v>9</v>
      </c>
      <c r="N41" s="18" t="s">
        <v>9</v>
      </c>
      <c r="O41" s="18" t="s">
        <v>8</v>
      </c>
      <c r="P41" s="18" t="s">
        <v>9</v>
      </c>
      <c r="Q41" s="18" t="s">
        <v>8</v>
      </c>
      <c r="R41" s="18" t="s">
        <v>8</v>
      </c>
      <c r="S41" s="18" t="s">
        <v>8</v>
      </c>
      <c r="T41" s="18" t="s">
        <v>8</v>
      </c>
      <c r="U41" s="18" t="s">
        <v>9</v>
      </c>
      <c r="V41" s="18" t="s">
        <v>8</v>
      </c>
      <c r="W41" s="18" t="s">
        <v>8</v>
      </c>
      <c r="X41" s="18" t="s">
        <v>8</v>
      </c>
      <c r="Y41" s="18" t="s">
        <v>9</v>
      </c>
      <c r="Z41" s="18" t="s">
        <v>0</v>
      </c>
      <c r="AA41" s="18" t="s">
        <v>0</v>
      </c>
      <c r="AB41" s="18" t="s">
        <v>8</v>
      </c>
      <c r="AC41" s="18" t="s">
        <v>8</v>
      </c>
      <c r="AD41" s="18" t="s">
        <v>8</v>
      </c>
      <c r="AE41" s="18" t="s">
        <v>8</v>
      </c>
      <c r="AF41" s="18" t="s">
        <v>8</v>
      </c>
      <c r="AG41" s="18" t="s">
        <v>8</v>
      </c>
      <c r="AH41" s="18" t="s">
        <v>0</v>
      </c>
      <c r="AI41" s="18" t="s">
        <v>8</v>
      </c>
      <c r="AJ41" s="9"/>
    </row>
    <row r="42" spans="1:36" s="8" customFormat="1" ht="22" customHeight="1" thickBot="1" x14ac:dyDescent="0.3">
      <c r="A42" s="6"/>
      <c r="B42" s="65" t="s">
        <v>18</v>
      </c>
      <c r="C42" s="66"/>
      <c r="D42" s="7" t="s">
        <v>17</v>
      </c>
      <c r="E42" s="67" t="s">
        <v>11</v>
      </c>
      <c r="F42" s="68"/>
      <c r="G42" s="13">
        <f>COUNTIF(E41:AI41,"H")</f>
        <v>22</v>
      </c>
      <c r="H42" s="67" t="s">
        <v>12</v>
      </c>
      <c r="I42" s="68"/>
      <c r="J42" s="13">
        <f>COUNTIF(E41:AI41,"T")</f>
        <v>5</v>
      </c>
      <c r="K42" s="67" t="s">
        <v>13</v>
      </c>
      <c r="L42" s="68"/>
      <c r="M42" s="13">
        <f>COUNTIF(E41:AI41,"A") + COUNTIF(E41:AI41,"I")</f>
        <v>4</v>
      </c>
      <c r="N42" s="67" t="s">
        <v>14</v>
      </c>
      <c r="O42" s="68"/>
      <c r="P42" s="13">
        <f>IF((G42+J42+M42)=0,0,(G42+J42)/(G42+J42+M42)*100)</f>
        <v>87.096774193548384</v>
      </c>
      <c r="Q42" s="67"/>
      <c r="R42" s="68"/>
      <c r="S42" s="13"/>
      <c r="T42" s="67"/>
      <c r="U42" s="68"/>
      <c r="V42" s="14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6"/>
    </row>
    <row r="43" spans="1:36" s="10" customFormat="1" ht="22" customHeight="1" x14ac:dyDescent="0.25">
      <c r="A43" s="9"/>
      <c r="B43" s="62" t="s">
        <v>41</v>
      </c>
      <c r="C43" s="63"/>
      <c r="D43" s="64"/>
      <c r="E43" s="16" t="s">
        <v>8</v>
      </c>
      <c r="F43" s="16" t="s">
        <v>0</v>
      </c>
      <c r="G43" s="17" t="s">
        <v>8</v>
      </c>
      <c r="H43" s="17" t="s">
        <v>8</v>
      </c>
      <c r="I43" s="17" t="s">
        <v>8</v>
      </c>
      <c r="J43" s="17" t="s">
        <v>8</v>
      </c>
      <c r="K43" s="17" t="s">
        <v>8</v>
      </c>
      <c r="L43" s="19" t="s">
        <v>8</v>
      </c>
      <c r="M43" s="19" t="s">
        <v>9</v>
      </c>
      <c r="N43" s="18" t="s">
        <v>9</v>
      </c>
      <c r="O43" s="18" t="s">
        <v>8</v>
      </c>
      <c r="P43" s="18" t="s">
        <v>9</v>
      </c>
      <c r="Q43" s="18" t="s">
        <v>8</v>
      </c>
      <c r="R43" s="18" t="s">
        <v>8</v>
      </c>
      <c r="S43" s="18" t="s">
        <v>8</v>
      </c>
      <c r="T43" s="18" t="s">
        <v>8</v>
      </c>
      <c r="U43" s="18" t="s">
        <v>9</v>
      </c>
      <c r="V43" s="18" t="s">
        <v>8</v>
      </c>
      <c r="W43" s="18" t="s">
        <v>8</v>
      </c>
      <c r="X43" s="18" t="s">
        <v>8</v>
      </c>
      <c r="Y43" s="18" t="s">
        <v>9</v>
      </c>
      <c r="Z43" s="18" t="s">
        <v>0</v>
      </c>
      <c r="AA43" s="18" t="s">
        <v>0</v>
      </c>
      <c r="AB43" s="18" t="s">
        <v>8</v>
      </c>
      <c r="AC43" s="18" t="s">
        <v>8</v>
      </c>
      <c r="AD43" s="18" t="s">
        <v>8</v>
      </c>
      <c r="AE43" s="18" t="s">
        <v>8</v>
      </c>
      <c r="AF43" s="18" t="s">
        <v>8</v>
      </c>
      <c r="AG43" s="18" t="s">
        <v>8</v>
      </c>
      <c r="AH43" s="18" t="s">
        <v>0</v>
      </c>
      <c r="AI43" s="18" t="s">
        <v>8</v>
      </c>
      <c r="AJ43" s="9"/>
    </row>
    <row r="44" spans="1:36" s="8" customFormat="1" ht="22" customHeight="1" thickBot="1" x14ac:dyDescent="0.3">
      <c r="A44" s="6"/>
      <c r="B44" s="65" t="s">
        <v>18</v>
      </c>
      <c r="C44" s="66"/>
      <c r="D44" s="7" t="s">
        <v>17</v>
      </c>
      <c r="E44" s="67" t="s">
        <v>11</v>
      </c>
      <c r="F44" s="68"/>
      <c r="G44" s="13">
        <f>COUNTIF(E43:AI43,"H")</f>
        <v>22</v>
      </c>
      <c r="H44" s="67" t="s">
        <v>12</v>
      </c>
      <c r="I44" s="68"/>
      <c r="J44" s="13">
        <f>COUNTIF(E43:AI43,"T")</f>
        <v>5</v>
      </c>
      <c r="K44" s="67" t="s">
        <v>13</v>
      </c>
      <c r="L44" s="68"/>
      <c r="M44" s="13">
        <f>COUNTIF(E43:AI43,"A") + COUNTIF(E43:AI43,"I")</f>
        <v>4</v>
      </c>
      <c r="N44" s="67" t="s">
        <v>14</v>
      </c>
      <c r="O44" s="68"/>
      <c r="P44" s="13">
        <f>IF((G44+J44+M44)=0,0,(G44+J44)/(G44+J44+M44)*100)</f>
        <v>87.096774193548384</v>
      </c>
      <c r="Q44" s="67"/>
      <c r="R44" s="68"/>
      <c r="S44" s="13"/>
      <c r="T44" s="67"/>
      <c r="U44" s="68"/>
      <c r="V44" s="14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6"/>
    </row>
    <row r="45" spans="1:36" ht="22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ht="28.5" customHeight="1" x14ac:dyDescent="0.35">
      <c r="A46" s="2"/>
      <c r="B46" s="48" t="s">
        <v>19</v>
      </c>
      <c r="C46" s="48"/>
      <c r="D46" s="48"/>
      <c r="E46" s="48"/>
      <c r="F46" s="48"/>
      <c r="G46" s="48"/>
      <c r="H46" s="48"/>
      <c r="I46" s="48"/>
      <c r="J46" s="48"/>
      <c r="L46" s="49" t="s">
        <v>59</v>
      </c>
      <c r="M46" s="50"/>
      <c r="N46" s="50"/>
      <c r="O46" s="50"/>
      <c r="P46" s="50"/>
      <c r="Q46" s="50"/>
      <c r="R46" s="50"/>
      <c r="S46" s="50"/>
      <c r="T46" s="50"/>
      <c r="U46" s="50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6" ht="22" customHeight="1" x14ac:dyDescent="0.35">
      <c r="A47" s="2"/>
      <c r="B47" s="51"/>
      <c r="C47" s="51"/>
      <c r="D47" s="51"/>
      <c r="E47" s="51"/>
      <c r="F47" s="51"/>
      <c r="G47" s="51"/>
      <c r="H47" s="51"/>
      <c r="I47" s="51"/>
      <c r="J47" s="51"/>
      <c r="L47" s="52" t="s">
        <v>21</v>
      </c>
      <c r="M47" s="52"/>
      <c r="N47" s="52"/>
      <c r="O47" s="52"/>
      <c r="P47" s="52"/>
      <c r="Q47" s="52"/>
      <c r="R47" s="52"/>
      <c r="S47" s="52"/>
      <c r="T47" s="53">
        <v>31</v>
      </c>
      <c r="U47" s="54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6" ht="22" customHeight="1" x14ac:dyDescent="0.35">
      <c r="A48" s="2"/>
      <c r="B48" s="51"/>
      <c r="C48" s="51"/>
      <c r="D48" s="51"/>
      <c r="E48" s="51"/>
      <c r="F48" s="51"/>
      <c r="G48" s="51"/>
      <c r="H48" s="51"/>
      <c r="I48" s="51"/>
      <c r="J48" s="51"/>
      <c r="L48" s="52" t="s">
        <v>42</v>
      </c>
      <c r="M48" s="52"/>
      <c r="N48" s="52"/>
      <c r="O48" s="52"/>
      <c r="P48" s="52"/>
      <c r="Q48" s="52"/>
      <c r="R48" s="52"/>
      <c r="S48" s="52"/>
      <c r="T48" s="53">
        <v>20</v>
      </c>
      <c r="U48" s="54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1:36" ht="22" customHeight="1" x14ac:dyDescent="0.35">
      <c r="A49" s="2"/>
      <c r="B49" s="51"/>
      <c r="C49" s="51"/>
      <c r="D49" s="51"/>
      <c r="E49" s="51"/>
      <c r="F49" s="51"/>
      <c r="G49" s="51"/>
      <c r="H49" s="51"/>
      <c r="I49" s="51"/>
      <c r="J49" s="51"/>
      <c r="L49" s="55" t="s">
        <v>43</v>
      </c>
      <c r="M49" s="55"/>
      <c r="N49" s="55"/>
      <c r="O49" s="55"/>
      <c r="P49" s="55"/>
      <c r="Q49" s="55"/>
      <c r="R49" s="55"/>
      <c r="S49" s="55"/>
      <c r="T49" s="58">
        <f>T47*T48</f>
        <v>620</v>
      </c>
      <c r="U49" s="59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1:36" ht="22" customHeight="1" x14ac:dyDescent="0.35">
      <c r="A50" s="2"/>
      <c r="B50" s="51"/>
      <c r="C50" s="51"/>
      <c r="D50" s="51"/>
      <c r="E50" s="51"/>
      <c r="F50" s="51"/>
      <c r="G50" s="51"/>
      <c r="H50" s="51"/>
      <c r="I50" s="51"/>
      <c r="J50" s="51"/>
      <c r="L50" s="52" t="s">
        <v>44</v>
      </c>
      <c r="M50" s="52"/>
      <c r="N50" s="52"/>
      <c r="O50" s="52"/>
      <c r="P50" s="52"/>
      <c r="Q50" s="52"/>
      <c r="R50" s="52"/>
      <c r="S50" s="52"/>
      <c r="T50" s="60">
        <f>COUNTIF(E5:AI43,"H")</f>
        <v>444</v>
      </c>
      <c r="U50" s="61"/>
      <c r="AD50" s="2"/>
      <c r="AE50" s="2"/>
      <c r="AF50" s="2"/>
      <c r="AG50" s="2"/>
      <c r="AH50" s="2"/>
      <c r="AI50" s="2"/>
    </row>
    <row r="51" spans="1:36" ht="22" customHeight="1" x14ac:dyDescent="0.35">
      <c r="A51" s="2"/>
      <c r="B51" s="51"/>
      <c r="C51" s="51"/>
      <c r="D51" s="51"/>
      <c r="E51" s="51"/>
      <c r="F51" s="51"/>
      <c r="G51" s="51"/>
      <c r="H51" s="51"/>
      <c r="I51" s="51"/>
      <c r="J51" s="51"/>
      <c r="L51" s="52" t="s">
        <v>87</v>
      </c>
      <c r="M51" s="52"/>
      <c r="N51" s="52"/>
      <c r="O51" s="52"/>
      <c r="P51" s="52"/>
      <c r="Q51" s="52"/>
      <c r="R51" s="52"/>
      <c r="S51" s="52"/>
      <c r="T51" s="60">
        <f>COUNTIF(E5:AI43,"T")</f>
        <v>96</v>
      </c>
      <c r="U51" s="61"/>
      <c r="AD51" s="2"/>
      <c r="AE51" s="2"/>
      <c r="AF51" s="2"/>
      <c r="AG51" s="2"/>
      <c r="AH51" s="2"/>
      <c r="AI51" s="2"/>
    </row>
    <row r="52" spans="1:36" ht="22" customHeight="1" x14ac:dyDescent="0.35">
      <c r="A52" s="2"/>
      <c r="B52" s="51"/>
      <c r="C52" s="51"/>
      <c r="D52" s="51"/>
      <c r="E52" s="51"/>
      <c r="F52" s="51"/>
      <c r="G52" s="51"/>
      <c r="H52" s="51"/>
      <c r="I52" s="51"/>
      <c r="J52" s="51"/>
      <c r="L52" s="52" t="s">
        <v>88</v>
      </c>
      <c r="M52" s="52"/>
      <c r="N52" s="52"/>
      <c r="O52" s="52"/>
      <c r="P52" s="52"/>
      <c r="Q52" s="52"/>
      <c r="R52" s="52"/>
      <c r="S52" s="52"/>
      <c r="T52" s="60">
        <f>COUNTIF(E5:AI43,"A")+COUNTIF(E5:AI43,"I")</f>
        <v>80</v>
      </c>
      <c r="U52" s="61"/>
      <c r="AD52" s="2"/>
      <c r="AE52" s="2"/>
      <c r="AF52" s="2"/>
      <c r="AG52" s="2"/>
      <c r="AH52" s="2"/>
      <c r="AI52" s="2"/>
    </row>
    <row r="53" spans="1:36" ht="22" customHeight="1" x14ac:dyDescent="0.35">
      <c r="A53" s="2"/>
      <c r="B53" s="51"/>
      <c r="C53" s="51"/>
      <c r="D53" s="51"/>
      <c r="E53" s="51"/>
      <c r="F53" s="51"/>
      <c r="G53" s="51"/>
      <c r="H53" s="51"/>
      <c r="I53" s="51"/>
      <c r="J53" s="51"/>
      <c r="L53" s="52" t="s">
        <v>47</v>
      </c>
      <c r="M53" s="52"/>
      <c r="N53" s="52"/>
      <c r="O53" s="52"/>
      <c r="P53" s="52"/>
      <c r="Q53" s="52"/>
      <c r="R53" s="52"/>
      <c r="S53" s="52"/>
      <c r="T53" s="56">
        <f>IF((T50+T51+T52)=0,0,(T50+T51)/( T50+T51+T52))</f>
        <v>0.87096774193548387</v>
      </c>
      <c r="U53" s="57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1:36" ht="16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ht="16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ht="16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ht="16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ht="16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ht="16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ht="16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spans="1:36" ht="16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ht="16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6" ht="16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ht="16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ht="16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ht="16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spans="1:36" ht="16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6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spans="1:36" ht="16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spans="1:36" ht="16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spans="1:36" ht="16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spans="1:36" ht="16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spans="1:36" ht="16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6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6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6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spans="1:36" ht="16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spans="1:36" ht="16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spans="1:36" ht="16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6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6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spans="1:36" ht="16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spans="1:36" ht="16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spans="1:36" ht="16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spans="1:36" ht="16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spans="1:36" ht="16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spans="1:36" ht="16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spans="1:36" ht="16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6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spans="1:36" ht="16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spans="1:36" ht="16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spans="1:36" ht="16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spans="1:36" ht="16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spans="1:36" ht="16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spans="1:36" ht="16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spans="1:36" ht="16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spans="1:36" ht="16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spans="1:36" ht="16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spans="1:36" ht="16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spans="1:36" ht="16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spans="1:36" ht="16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spans="1:36" ht="16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spans="1:36" ht="16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spans="1:36" ht="16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spans="1:36" ht="16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spans="1:36" ht="16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spans="1:36" ht="16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spans="1:36" ht="16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spans="1:36" ht="16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spans="1:36" ht="16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spans="1:36" ht="16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spans="1:36" ht="16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spans="1:36" ht="16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spans="1:36" ht="16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spans="1:36" ht="16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spans="1:36" ht="16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spans="1:36" ht="16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spans="1:36" ht="16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spans="1:36" ht="16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spans="1:36" ht="16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6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6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6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6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6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6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6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6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6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6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6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6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6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6" ht="16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6" ht="16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6" ht="16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6" ht="16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6" ht="16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6" ht="16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spans="1:36" ht="16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spans="1:36" ht="16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spans="1:36" ht="16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spans="1:36" ht="16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spans="1:36" ht="16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spans="1:36" ht="16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spans="1:36" ht="16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spans="1:36" ht="16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spans="1:36" ht="16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spans="1:36" ht="16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spans="1:36" ht="16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spans="1:36" ht="16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spans="1:36" ht="16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spans="1:36" ht="16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spans="1:36" ht="16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spans="1:36" ht="16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spans="1:36" ht="16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spans="1:36" ht="16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spans="1:36" ht="16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spans="1:36" ht="16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spans="1:36" ht="16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spans="1:36" ht="16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spans="1:36" ht="16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spans="1:36" ht="16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spans="1:36" ht="16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spans="1:36" ht="16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spans="1:36" ht="16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spans="1:36" ht="16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spans="1:36" ht="16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spans="1:36" ht="16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spans="1:36" ht="16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spans="1:36" ht="16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spans="1:36" ht="16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spans="1:36" ht="16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spans="1:36" ht="16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spans="1:36" ht="16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spans="1:36" ht="16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spans="1:36" ht="16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spans="1:36" ht="16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spans="1:36" ht="16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spans="1:36" ht="16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spans="1:36" ht="16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spans="1:36" ht="16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spans="1:36" ht="16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spans="1:36" ht="16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spans="1:36" ht="16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spans="1:36" ht="16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spans="1:36" ht="16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spans="1:36" ht="16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spans="1:36" ht="16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spans="1:36" ht="16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spans="1:36" ht="16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spans="1:36" ht="16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spans="1:36" ht="16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spans="1:36" ht="16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spans="1:36" ht="16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spans="1:36" ht="16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spans="1:36" ht="16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spans="1:36" ht="16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spans="1:36" ht="16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spans="1:36" ht="16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spans="1:36" ht="16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spans="1:36" ht="16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spans="1:36" ht="16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spans="1:36" ht="16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spans="1:36" ht="16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spans="1:36" ht="16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spans="1:36" ht="16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spans="1:36" ht="16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spans="1:36" ht="16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spans="1:36" ht="16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spans="1:36" ht="16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spans="1:36" ht="16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spans="1:36" ht="16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spans="1:36" ht="16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spans="1:36" ht="16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spans="1:36" ht="16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spans="1:36" ht="16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spans="1:36" ht="16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spans="1:36" ht="16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spans="1:36" ht="16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spans="1:36" ht="16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spans="1:36" ht="16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spans="1:36" ht="16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spans="1:36" ht="16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spans="1:36" ht="16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spans="1:36" ht="16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spans="1:36" ht="16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spans="1:36" ht="16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spans="1:36" ht="16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spans="1:36" ht="16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spans="1:36" ht="16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spans="1:36" ht="16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spans="1:36" ht="16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spans="1:36" ht="16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spans="1:36" ht="16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spans="1:36" ht="16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spans="1:36" ht="16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spans="1:36" ht="16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spans="1:36" ht="16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spans="1:36" ht="16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spans="1:36" ht="16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spans="1:36" ht="16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spans="1:36" ht="16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spans="1:36" ht="16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spans="1:36" ht="16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spans="1:36" ht="16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spans="1:36" ht="16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spans="1:36" ht="16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spans="1:36" ht="16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spans="1:36" ht="16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spans="1:36" ht="16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spans="1:36" ht="16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spans="1:36" ht="16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spans="1:36" ht="16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spans="1:36" ht="16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spans="1:36" ht="16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spans="1:36" ht="16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spans="1:36" ht="16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spans="1:36" ht="16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spans="1:36" ht="16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spans="1:36" ht="16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spans="1:36" ht="16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spans="1:36" ht="16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spans="1:36" ht="16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spans="1:36" ht="16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spans="1:36" ht="16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spans="1:36" ht="16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spans="1:36" ht="16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spans="1:36" ht="16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spans="1:36" ht="16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spans="1:36" ht="16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spans="1:36" ht="16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spans="1:36" ht="16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spans="1:36" ht="16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spans="1:36" ht="16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spans="1:36" ht="16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spans="1:36" ht="16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spans="1:36" ht="16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spans="1:36" ht="16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spans="1:36" ht="16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spans="1:36" ht="16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spans="1:36" ht="16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spans="1:36" ht="16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spans="1:36" ht="16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spans="1:36" ht="16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spans="1:36" ht="16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spans="1:36" ht="16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spans="1:36" ht="16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spans="1:36" ht="16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spans="1:36" ht="16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spans="1:36" ht="16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spans="1:36" ht="16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spans="1:36" ht="16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spans="1:36" ht="16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spans="1:36" ht="16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spans="1:36" ht="16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spans="1:36" ht="16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spans="1:36" ht="16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spans="1:36" ht="16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spans="1:36" ht="16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spans="1:36" ht="16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spans="1:36" ht="16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spans="1:36" ht="16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spans="1:36" ht="16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spans="1:36" ht="16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spans="1:36" ht="16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spans="1:36" ht="16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spans="1:36" ht="16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spans="1:36" ht="16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spans="1:36" ht="16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spans="1:36" ht="16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spans="1:36" ht="16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spans="1:36" ht="16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spans="1:36" ht="16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spans="1:36" ht="16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spans="1:36" ht="16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spans="1:36" ht="16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spans="1:36" ht="16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spans="1:36" ht="16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spans="1:36" ht="16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spans="1:36" ht="16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spans="1:36" ht="16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spans="1:36" ht="16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spans="1:36" ht="16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spans="1:36" ht="16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spans="1:36" ht="16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spans="1:36" ht="16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spans="1:36" ht="16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spans="1:36" ht="16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spans="1:36" ht="16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spans="1:36" ht="16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spans="1:36" ht="16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spans="1:36" ht="16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spans="1:36" ht="16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spans="1:36" ht="16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spans="1:36" ht="16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spans="1:36" ht="16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spans="1:36" ht="16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spans="1:36" ht="16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spans="1:36" ht="16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spans="1:36" ht="16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spans="1:36" ht="16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spans="1:36" ht="16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spans="1:36" ht="16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spans="1:36" ht="16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spans="1:36" ht="16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spans="1:36" ht="16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spans="1:36" ht="16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spans="1:36" ht="16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spans="1:36" ht="16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spans="1:36" ht="16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spans="1:36" ht="16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spans="1:36" ht="16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spans="1:36" ht="16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spans="1:36" ht="16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spans="1:36" ht="16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spans="1:36" ht="16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spans="1:36" ht="16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spans="1:36" ht="16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spans="1:36" ht="16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spans="1:36" ht="16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spans="1:36" ht="16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spans="1:36" ht="16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spans="1:36" ht="16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spans="1:36" ht="16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spans="1:36" ht="16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spans="1:36" ht="16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spans="1:36" ht="16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spans="1:36" ht="16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spans="1:36" ht="16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spans="1:36" ht="16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spans="1:36" ht="16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spans="1:36" ht="16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spans="1:36" ht="16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spans="1:36" ht="16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spans="1:36" ht="16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spans="1:36" ht="16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spans="1:36" ht="16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spans="1:36" ht="16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spans="1:36" ht="16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spans="1:36" ht="16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spans="1:36" ht="16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spans="1:36" ht="16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spans="1:36" ht="16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spans="1:36" ht="16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spans="1:36" ht="16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spans="1:36" ht="16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spans="1:36" ht="16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spans="1:36" ht="16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spans="1:36" ht="16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spans="1:36" ht="16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spans="1:36" ht="16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spans="1:36" ht="16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spans="1:36" ht="16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spans="1:36" ht="16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spans="1:36" ht="16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spans="1:36" ht="16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spans="1:36" ht="16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spans="1:36" ht="16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spans="1:36" ht="16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spans="1:36" ht="16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spans="1:36" ht="16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spans="1:36" ht="16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spans="1:36" ht="16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spans="1:36" ht="16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spans="1:36" ht="16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spans="1:36" ht="16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spans="1:36" ht="16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spans="1:36" ht="16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spans="1:36" ht="16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spans="1:36" ht="16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spans="1:36" ht="16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spans="1:36" ht="16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spans="1:36" ht="16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spans="1:36" ht="16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spans="1:36" ht="16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spans="1:36" ht="16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spans="1:36" ht="16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spans="1:36" ht="16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spans="1:36" ht="16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spans="1:36" ht="16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spans="1:36" ht="16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spans="1:36" ht="16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spans="1:36" ht="16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spans="1:36" ht="16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spans="1:36" ht="16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spans="1:36" ht="16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spans="1:36" ht="16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spans="1:36" ht="16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spans="1:36" ht="16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spans="1:36" ht="16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spans="1:36" ht="16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spans="1:36" ht="16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spans="1:36" ht="16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spans="1:36" ht="16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spans="1:36" ht="16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spans="1:36" ht="16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spans="1:36" ht="16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spans="1:36" ht="16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spans="1:36" ht="16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spans="1:36" ht="16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spans="1:36" ht="16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spans="1:36" ht="16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spans="1:36" ht="16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spans="1:36" ht="16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spans="1:36" ht="16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spans="1:36" ht="16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spans="1:36" ht="16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spans="1:36" ht="16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spans="1:36" ht="16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spans="1:36" ht="16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spans="1:36" ht="16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spans="1:36" ht="16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spans="1:36" ht="16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spans="1:36" ht="16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spans="1:36" ht="16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spans="1:36" ht="16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spans="1:36" ht="16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spans="1:36" ht="16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spans="1:36" ht="16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spans="1:36" ht="16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spans="1:36" ht="16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spans="1:36" ht="16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spans="1:36" ht="16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spans="1:36" ht="16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spans="1:36" ht="16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spans="1:36" ht="16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spans="1:36" ht="16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spans="1:36" ht="16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spans="1:36" ht="16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spans="1:36" ht="16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spans="1:36" ht="16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spans="1:36" ht="16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spans="1:36" ht="16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spans="1:36" ht="16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spans="1:36" ht="16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spans="1:36" ht="16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spans="1:36" ht="16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spans="1:36" ht="16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spans="1:36" ht="16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spans="1:36" ht="16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spans="1:36" ht="16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spans="1:36" ht="16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spans="1:36" ht="16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spans="1:36" ht="16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spans="1:36" ht="16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spans="1:36" ht="16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spans="1:36" ht="16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spans="1:36" ht="16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spans="1:36" ht="16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spans="1:36" ht="16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spans="1:36" ht="16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spans="1:36" ht="16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spans="1:36" ht="16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spans="1:36" ht="16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spans="1:36" ht="16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spans="1:36" ht="16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spans="1:36" ht="16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spans="1:36" ht="16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spans="1:36" ht="16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spans="1:36" ht="16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spans="1:36" ht="16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spans="1:36" ht="16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spans="1:36" ht="16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spans="1:36" ht="16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spans="1:36" ht="16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spans="1:36" ht="16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spans="1:36" ht="16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spans="1:36" ht="16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spans="1:36" ht="16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spans="1:36" ht="16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spans="1:36" ht="16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spans="1:36" ht="16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spans="1:36" ht="16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spans="1:36" ht="16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spans="1:36" ht="16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spans="1:36" ht="16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spans="1:36" ht="16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spans="1:36" ht="16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spans="1:36" ht="16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spans="1:36" ht="16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spans="1:36" ht="16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spans="1:36" ht="16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spans="1:36" ht="16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spans="1:36" ht="16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spans="1:36" ht="16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spans="1:36" ht="16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spans="1:36" ht="16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spans="1:36" ht="16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spans="1:36" ht="16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spans="1:36" ht="16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spans="1:36" ht="16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spans="1:36" ht="16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spans="1:36" ht="16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spans="1:36" ht="16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spans="1:36" ht="16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spans="1:36" ht="16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spans="1:36" ht="16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spans="1:36" ht="16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spans="1:36" ht="16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spans="1:36" ht="16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spans="1:36" ht="16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spans="1:36" ht="16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spans="1:36" ht="16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spans="1:36" ht="16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spans="1:36" ht="16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spans="1:36" ht="16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spans="1:36" ht="16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spans="1:36" ht="16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spans="1:36" ht="16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spans="1:36" ht="16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spans="1:36" ht="16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spans="1:36" ht="16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spans="1:36" ht="16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spans="1:36" ht="16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spans="1:36" ht="16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spans="1:36" ht="16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spans="1:36" ht="16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spans="1:36" ht="16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spans="1:36" ht="16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spans="1:36" ht="16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spans="1:36" ht="16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spans="1:36" ht="16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spans="1:36" ht="16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spans="1:36" ht="16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spans="1:36" ht="16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spans="1:36" ht="16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spans="1:36" ht="16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spans="1:36" ht="16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spans="1:36" ht="16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spans="1:36" ht="16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spans="1:36" ht="16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spans="1:36" ht="16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spans="1:36" ht="16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spans="1:36" ht="16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spans="1:36" ht="16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spans="1:36" ht="16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spans="1:36" ht="16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spans="1:36" ht="16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spans="1:36" ht="16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spans="1:36" ht="16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spans="1:36" ht="16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spans="1:36" ht="16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spans="1:36" ht="16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spans="1:36" ht="16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spans="1:36" ht="16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spans="1:36" ht="16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spans="1:36" ht="16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spans="1:36" ht="16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spans="1:36" ht="16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spans="1:36" ht="16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spans="1:36" ht="16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spans="1:36" ht="16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spans="1:36" ht="16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spans="1:36" ht="16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spans="1:36" ht="16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spans="1:36" ht="16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spans="1:36" ht="16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spans="1:36" ht="16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spans="1:36" ht="16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spans="1:36" ht="16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spans="1:36" ht="16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spans="1:36" ht="16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spans="1:36" ht="16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spans="1:36" ht="16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spans="1:36" ht="16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spans="1:36" ht="16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spans="1:36" ht="16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spans="1:36" ht="16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spans="1:36" ht="16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spans="1:36" ht="16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spans="1:36" ht="16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spans="1:36" ht="16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spans="1:36" ht="16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spans="1:36" ht="16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spans="1:36" ht="16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spans="1:36" ht="16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spans="1:36" ht="16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spans="1:36" ht="16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spans="1:36" ht="16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spans="1:36" ht="16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spans="1:36" ht="16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spans="1:36" ht="16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spans="1:36" ht="16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spans="1:36" ht="16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spans="1:36" ht="16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spans="1:36" ht="16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spans="1:36" ht="16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spans="1:36" ht="16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spans="1:36" ht="16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spans="1:36" ht="16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spans="1:36" ht="16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spans="1:36" ht="16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spans="1:36" ht="16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spans="1:36" ht="16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spans="1:36" ht="16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spans="1:36" ht="16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spans="1:36" ht="16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spans="1:36" ht="16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spans="1:36" ht="16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spans="1:36" ht="16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spans="1:36" ht="16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spans="1:36" ht="16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spans="1:36" ht="16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spans="1:36" ht="16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spans="1:36" ht="16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spans="1:36" ht="16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spans="1:36" ht="16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spans="1:36" ht="16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spans="1:36" ht="16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</sheetData>
  <mergeCells count="184">
    <mergeCell ref="M2:N2"/>
    <mergeCell ref="Q2:R2"/>
    <mergeCell ref="U2:W2"/>
    <mergeCell ref="C4:D4"/>
    <mergeCell ref="B5:D5"/>
    <mergeCell ref="B6:C6"/>
    <mergeCell ref="E6:F6"/>
    <mergeCell ref="H6:I6"/>
    <mergeCell ref="K6:L6"/>
    <mergeCell ref="B2:D2"/>
    <mergeCell ref="E2:F2"/>
    <mergeCell ref="I2:J2"/>
    <mergeCell ref="N6:O6"/>
    <mergeCell ref="Q6:R6"/>
    <mergeCell ref="T6:U6"/>
    <mergeCell ref="B7:D7"/>
    <mergeCell ref="B8:C8"/>
    <mergeCell ref="E8:F8"/>
    <mergeCell ref="H8:I8"/>
    <mergeCell ref="K8:L8"/>
    <mergeCell ref="N8:O8"/>
    <mergeCell ref="Q8:R8"/>
    <mergeCell ref="B11:D11"/>
    <mergeCell ref="B12:C12"/>
    <mergeCell ref="E12:F12"/>
    <mergeCell ref="H12:I12"/>
    <mergeCell ref="K12:L12"/>
    <mergeCell ref="N12:O12"/>
    <mergeCell ref="T8:U8"/>
    <mergeCell ref="B9:D9"/>
    <mergeCell ref="B10:C10"/>
    <mergeCell ref="E10:F10"/>
    <mergeCell ref="H10:I10"/>
    <mergeCell ref="K10:L10"/>
    <mergeCell ref="N10:O10"/>
    <mergeCell ref="Q10:R10"/>
    <mergeCell ref="T10:U10"/>
    <mergeCell ref="B15:D15"/>
    <mergeCell ref="B16:C16"/>
    <mergeCell ref="E16:F16"/>
    <mergeCell ref="H16:I16"/>
    <mergeCell ref="K16:L16"/>
    <mergeCell ref="N16:O16"/>
    <mergeCell ref="Q12:R12"/>
    <mergeCell ref="T12:U12"/>
    <mergeCell ref="B13:D13"/>
    <mergeCell ref="B14:C14"/>
    <mergeCell ref="E14:F14"/>
    <mergeCell ref="H14:I14"/>
    <mergeCell ref="K14:L14"/>
    <mergeCell ref="N14:O14"/>
    <mergeCell ref="Q14:R14"/>
    <mergeCell ref="T14:U14"/>
    <mergeCell ref="B19:D19"/>
    <mergeCell ref="B20:C20"/>
    <mergeCell ref="E20:F20"/>
    <mergeCell ref="H20:I20"/>
    <mergeCell ref="K20:L20"/>
    <mergeCell ref="N20:O20"/>
    <mergeCell ref="Q16:R16"/>
    <mergeCell ref="T16:U16"/>
    <mergeCell ref="B17:D17"/>
    <mergeCell ref="B18:C18"/>
    <mergeCell ref="E18:F18"/>
    <mergeCell ref="H18:I18"/>
    <mergeCell ref="K18:L18"/>
    <mergeCell ref="N18:O18"/>
    <mergeCell ref="Q18:R18"/>
    <mergeCell ref="T18:U18"/>
    <mergeCell ref="B23:D23"/>
    <mergeCell ref="B24:C24"/>
    <mergeCell ref="E24:F24"/>
    <mergeCell ref="H24:I24"/>
    <mergeCell ref="K24:L24"/>
    <mergeCell ref="N24:O24"/>
    <mergeCell ref="Q20:R20"/>
    <mergeCell ref="T20:U20"/>
    <mergeCell ref="B21:D21"/>
    <mergeCell ref="B22:C22"/>
    <mergeCell ref="E22:F22"/>
    <mergeCell ref="H22:I22"/>
    <mergeCell ref="K22:L22"/>
    <mergeCell ref="N22:O22"/>
    <mergeCell ref="Q22:R22"/>
    <mergeCell ref="T22:U22"/>
    <mergeCell ref="B27:D27"/>
    <mergeCell ref="B28:C28"/>
    <mergeCell ref="E28:F28"/>
    <mergeCell ref="H28:I28"/>
    <mergeCell ref="K28:L28"/>
    <mergeCell ref="N28:O28"/>
    <mergeCell ref="Q24:R24"/>
    <mergeCell ref="T24:U24"/>
    <mergeCell ref="B25:D25"/>
    <mergeCell ref="B26:C26"/>
    <mergeCell ref="E26:F26"/>
    <mergeCell ref="H26:I26"/>
    <mergeCell ref="K26:L26"/>
    <mergeCell ref="N26:O26"/>
    <mergeCell ref="Q26:R26"/>
    <mergeCell ref="T26:U26"/>
    <mergeCell ref="B31:D31"/>
    <mergeCell ref="B32:C32"/>
    <mergeCell ref="E32:F32"/>
    <mergeCell ref="H32:I32"/>
    <mergeCell ref="K32:L32"/>
    <mergeCell ref="N32:O32"/>
    <mergeCell ref="Q28:R28"/>
    <mergeCell ref="T28:U28"/>
    <mergeCell ref="B29:D29"/>
    <mergeCell ref="B30:C30"/>
    <mergeCell ref="E30:F30"/>
    <mergeCell ref="H30:I30"/>
    <mergeCell ref="K30:L30"/>
    <mergeCell ref="N30:O30"/>
    <mergeCell ref="Q30:R30"/>
    <mergeCell ref="T30:U30"/>
    <mergeCell ref="B35:D35"/>
    <mergeCell ref="B36:C36"/>
    <mergeCell ref="E36:F36"/>
    <mergeCell ref="H36:I36"/>
    <mergeCell ref="K36:L36"/>
    <mergeCell ref="N36:O36"/>
    <mergeCell ref="Q32:R32"/>
    <mergeCell ref="T32:U32"/>
    <mergeCell ref="B33:D33"/>
    <mergeCell ref="B34:C34"/>
    <mergeCell ref="E34:F34"/>
    <mergeCell ref="H34:I34"/>
    <mergeCell ref="K34:L34"/>
    <mergeCell ref="N34:O34"/>
    <mergeCell ref="Q34:R34"/>
    <mergeCell ref="T34:U34"/>
    <mergeCell ref="B39:D39"/>
    <mergeCell ref="B40:C40"/>
    <mergeCell ref="E40:F40"/>
    <mergeCell ref="H40:I40"/>
    <mergeCell ref="K40:L40"/>
    <mergeCell ref="N40:O40"/>
    <mergeCell ref="Q36:R36"/>
    <mergeCell ref="T36:U36"/>
    <mergeCell ref="B37:D37"/>
    <mergeCell ref="B38:C38"/>
    <mergeCell ref="E38:F38"/>
    <mergeCell ref="H38:I38"/>
    <mergeCell ref="K38:L38"/>
    <mergeCell ref="N38:O38"/>
    <mergeCell ref="Q38:R38"/>
    <mergeCell ref="T38:U38"/>
    <mergeCell ref="B43:D43"/>
    <mergeCell ref="B44:C44"/>
    <mergeCell ref="E44:F44"/>
    <mergeCell ref="H44:I44"/>
    <mergeCell ref="K44:L44"/>
    <mergeCell ref="N44:O44"/>
    <mergeCell ref="Q40:R40"/>
    <mergeCell ref="T40:U40"/>
    <mergeCell ref="B41:D41"/>
    <mergeCell ref="B42:C42"/>
    <mergeCell ref="E42:F42"/>
    <mergeCell ref="H42:I42"/>
    <mergeCell ref="K42:L42"/>
    <mergeCell ref="N42:O42"/>
    <mergeCell ref="Q42:R42"/>
    <mergeCell ref="T42:U42"/>
    <mergeCell ref="Q44:R44"/>
    <mergeCell ref="T44:U44"/>
    <mergeCell ref="B46:J46"/>
    <mergeCell ref="L46:U46"/>
    <mergeCell ref="B47:J53"/>
    <mergeCell ref="L47:S47"/>
    <mergeCell ref="T47:U47"/>
    <mergeCell ref="L48:S48"/>
    <mergeCell ref="T48:U48"/>
    <mergeCell ref="L49:S49"/>
    <mergeCell ref="L53:S53"/>
    <mergeCell ref="T53:U53"/>
    <mergeCell ref="T49:U49"/>
    <mergeCell ref="L50:S50"/>
    <mergeCell ref="T50:U50"/>
    <mergeCell ref="L51:S51"/>
    <mergeCell ref="T51:U51"/>
    <mergeCell ref="L52:S52"/>
    <mergeCell ref="T52:U52"/>
  </mergeCells>
  <conditionalFormatting sqref="E5:AI44">
    <cfRule type="cellIs" dxfId="87" priority="1" operator="equal">
      <formula>"H"</formula>
    </cfRule>
    <cfRule type="cellIs" dxfId="86" priority="6" operator="equal">
      <formula>"I"</formula>
    </cfRule>
    <cfRule type="cellIs" dxfId="85" priority="7" operator="equal">
      <formula>"T"</formula>
    </cfRule>
    <cfRule type="cellIs" dxfId="84" priority="8" operator="equal">
      <formula>"A"</formula>
    </cfRule>
  </conditionalFormatting>
  <conditionalFormatting sqref="G2 K2 O2">
    <cfRule type="cellIs" dxfId="83" priority="2" operator="equal">
      <formula>"I"</formula>
    </cfRule>
    <cfRule type="cellIs" dxfId="82" priority="9" operator="equal">
      <formula>"H"</formula>
    </cfRule>
    <cfRule type="cellIs" dxfId="81" priority="10" operator="equal">
      <formula>"T"</formula>
    </cfRule>
    <cfRule type="cellIs" dxfId="80" priority="11" operator="equal">
      <formula>"A"</formula>
    </cfRule>
  </conditionalFormatting>
  <conditionalFormatting sqref="S2">
    <cfRule type="cellIs" dxfId="79" priority="3" operator="equal">
      <formula>"H"</formula>
    </cfRule>
    <cfRule type="cellIs" dxfId="78" priority="4" operator="equal">
      <formula>"T"</formula>
    </cfRule>
    <cfRule type="cellIs" dxfId="77" priority="5" operator="equal">
      <formula>"A"</formula>
    </cfRule>
  </conditionalFormatting>
  <pageMargins left="0.4" right="0.4" top="0.4" bottom="0.4" header="0" footer="0"/>
  <pageSetup paperSize="3" scale="42"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6A7E-AA12-4C26-953D-F2CEB21CF0B0}">
  <sheetPr codeName="Sheet7">
    <tabColor rgb="FFF4EEA2"/>
    <outlinePr summaryBelow="0" summaryRight="0"/>
    <pageSetUpPr fitToPage="1"/>
  </sheetPr>
  <dimension ref="A1:AJ650"/>
  <sheetViews>
    <sheetView showGridLines="0" topLeftCell="A35" zoomScale="70" zoomScaleNormal="70" workbookViewId="0">
      <selection activeCell="L53" sqref="L53:S53"/>
    </sheetView>
  </sheetViews>
  <sheetFormatPr defaultColWidth="14.453125" defaultRowHeight="15.75" customHeight="1" x14ac:dyDescent="0.25"/>
  <cols>
    <col min="1" max="1" width="3.36328125" style="1" customWidth="1"/>
    <col min="2" max="2" width="19.36328125" style="1" customWidth="1"/>
    <col min="3" max="4" width="14.81640625" style="1" customWidth="1"/>
    <col min="5" max="35" width="7.81640625" style="1" customWidth="1"/>
    <col min="36" max="36" width="3.36328125" style="1" customWidth="1"/>
    <col min="37" max="16384" width="14.453125" style="1"/>
  </cols>
  <sheetData>
    <row r="1" spans="1:36" ht="50" customHeight="1" thickBot="1" x14ac:dyDescent="0.4">
      <c r="A1" s="2"/>
      <c r="B1" s="20" t="s">
        <v>60</v>
      </c>
      <c r="C1" s="2"/>
      <c r="D1" s="3"/>
      <c r="E1" s="4"/>
      <c r="F1" s="2"/>
      <c r="G1" s="3"/>
      <c r="H1" s="3"/>
      <c r="I1" s="2"/>
      <c r="J1" s="2"/>
      <c r="K1" s="3"/>
      <c r="L1" s="3"/>
      <c r="M1" s="2"/>
      <c r="N1" s="2"/>
      <c r="O1" s="3"/>
      <c r="P1" s="3"/>
      <c r="R1" s="2"/>
      <c r="S1" s="3"/>
      <c r="T1" s="3"/>
      <c r="V1" s="2"/>
      <c r="X1" s="2"/>
      <c r="Y1" s="2"/>
      <c r="Z1" s="2"/>
      <c r="AA1" s="2"/>
      <c r="AB1" s="2"/>
      <c r="AC1" s="2"/>
      <c r="AD1" s="2"/>
      <c r="AE1" s="2"/>
      <c r="AF1" s="2"/>
      <c r="AH1" s="2"/>
      <c r="AI1" s="2"/>
      <c r="AJ1" s="2"/>
    </row>
    <row r="2" spans="1:36" ht="44" customHeight="1" x14ac:dyDescent="0.35">
      <c r="A2" s="2"/>
      <c r="B2" s="76" t="s">
        <v>3</v>
      </c>
      <c r="C2" s="76"/>
      <c r="D2" s="77"/>
      <c r="E2" s="42" t="s">
        <v>4</v>
      </c>
      <c r="F2" s="43"/>
      <c r="G2" s="21" t="s">
        <v>8</v>
      </c>
      <c r="I2" s="44" t="s">
        <v>5</v>
      </c>
      <c r="J2" s="45"/>
      <c r="K2" s="11" t="s">
        <v>9</v>
      </c>
      <c r="M2" s="46" t="s">
        <v>7</v>
      </c>
      <c r="N2" s="47"/>
      <c r="O2" s="12" t="s">
        <v>10</v>
      </c>
      <c r="Q2" s="46" t="s">
        <v>6</v>
      </c>
      <c r="R2" s="47"/>
      <c r="S2" s="12" t="s">
        <v>0</v>
      </c>
      <c r="T2" s="23"/>
      <c r="U2" s="40"/>
      <c r="V2" s="40"/>
      <c r="W2" s="40"/>
      <c r="X2" s="22"/>
      <c r="AC2" s="2"/>
      <c r="AD2" s="2"/>
      <c r="AE2" s="2"/>
      <c r="AF2" s="2"/>
      <c r="AG2" s="2"/>
      <c r="AH2" s="2"/>
      <c r="AI2" s="2"/>
      <c r="AJ2" s="2"/>
    </row>
    <row r="3" spans="1:36" ht="16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ht="25" customHeight="1" x14ac:dyDescent="0.35">
      <c r="A4" s="2"/>
      <c r="B4" s="25" t="s">
        <v>16</v>
      </c>
      <c r="C4" s="73" t="s">
        <v>61</v>
      </c>
      <c r="D4" s="74"/>
      <c r="E4" s="24">
        <v>1</v>
      </c>
      <c r="F4" s="24">
        <v>2</v>
      </c>
      <c r="G4" s="24">
        <v>3</v>
      </c>
      <c r="H4" s="24">
        <v>4</v>
      </c>
      <c r="I4" s="24">
        <v>5</v>
      </c>
      <c r="J4" s="24">
        <v>6</v>
      </c>
      <c r="K4" s="24">
        <v>7</v>
      </c>
      <c r="L4" s="24">
        <v>8</v>
      </c>
      <c r="M4" s="24">
        <v>9</v>
      </c>
      <c r="N4" s="24">
        <v>10</v>
      </c>
      <c r="O4" s="24">
        <v>11</v>
      </c>
      <c r="P4" s="24">
        <v>12</v>
      </c>
      <c r="Q4" s="24">
        <v>13</v>
      </c>
      <c r="R4" s="24">
        <v>14</v>
      </c>
      <c r="S4" s="24">
        <v>15</v>
      </c>
      <c r="T4" s="24">
        <v>16</v>
      </c>
      <c r="U4" s="24">
        <v>17</v>
      </c>
      <c r="V4" s="24">
        <v>18</v>
      </c>
      <c r="W4" s="24">
        <v>19</v>
      </c>
      <c r="X4" s="24">
        <v>20</v>
      </c>
      <c r="Y4" s="24">
        <v>21</v>
      </c>
      <c r="Z4" s="24">
        <v>22</v>
      </c>
      <c r="AA4" s="24">
        <v>23</v>
      </c>
      <c r="AB4" s="24">
        <v>24</v>
      </c>
      <c r="AC4" s="24">
        <v>25</v>
      </c>
      <c r="AD4" s="24">
        <v>26</v>
      </c>
      <c r="AE4" s="24">
        <v>27</v>
      </c>
      <c r="AF4" s="24">
        <v>28</v>
      </c>
      <c r="AG4" s="24">
        <v>29</v>
      </c>
      <c r="AH4" s="24">
        <v>30</v>
      </c>
      <c r="AI4" s="2"/>
    </row>
    <row r="5" spans="1:36" ht="22" customHeight="1" x14ac:dyDescent="0.35">
      <c r="A5" s="2"/>
      <c r="B5" s="75" t="s">
        <v>22</v>
      </c>
      <c r="C5" s="75"/>
      <c r="D5" s="75"/>
      <c r="E5" s="16" t="s">
        <v>10</v>
      </c>
      <c r="F5" s="16" t="s">
        <v>0</v>
      </c>
      <c r="G5" s="17" t="s">
        <v>8</v>
      </c>
      <c r="H5" s="17" t="s">
        <v>8</v>
      </c>
      <c r="I5" s="17" t="s">
        <v>8</v>
      </c>
      <c r="J5" s="17" t="s">
        <v>8</v>
      </c>
      <c r="K5" s="17" t="s">
        <v>8</v>
      </c>
      <c r="L5" s="19" t="s">
        <v>8</v>
      </c>
      <c r="M5" s="19" t="s">
        <v>9</v>
      </c>
      <c r="N5" s="18" t="s">
        <v>9</v>
      </c>
      <c r="O5" s="18" t="s">
        <v>8</v>
      </c>
      <c r="P5" s="18" t="s">
        <v>9</v>
      </c>
      <c r="Q5" s="18" t="s">
        <v>8</v>
      </c>
      <c r="R5" s="18" t="s">
        <v>8</v>
      </c>
      <c r="S5" s="18" t="s">
        <v>8</v>
      </c>
      <c r="T5" s="18" t="s">
        <v>8</v>
      </c>
      <c r="U5" s="18" t="s">
        <v>9</v>
      </c>
      <c r="V5" s="18" t="s">
        <v>8</v>
      </c>
      <c r="W5" s="18" t="s">
        <v>8</v>
      </c>
      <c r="X5" s="18" t="s">
        <v>8</v>
      </c>
      <c r="Y5" s="18" t="s">
        <v>9</v>
      </c>
      <c r="Z5" s="18" t="s">
        <v>0</v>
      </c>
      <c r="AA5" s="18" t="s">
        <v>0</v>
      </c>
      <c r="AB5" s="18" t="s">
        <v>8</v>
      </c>
      <c r="AC5" s="18" t="s">
        <v>8</v>
      </c>
      <c r="AD5" s="18" t="s">
        <v>8</v>
      </c>
      <c r="AE5" s="18" t="s">
        <v>8</v>
      </c>
      <c r="AF5" s="18" t="s">
        <v>8</v>
      </c>
      <c r="AG5" s="18" t="s">
        <v>8</v>
      </c>
      <c r="AH5" s="18" t="s">
        <v>0</v>
      </c>
      <c r="AI5" s="2"/>
    </row>
    <row r="6" spans="1:36" s="8" customFormat="1" ht="22" customHeight="1" thickBot="1" x14ac:dyDescent="0.3">
      <c r="A6" s="6"/>
      <c r="B6" s="65" t="s">
        <v>18</v>
      </c>
      <c r="C6" s="66"/>
      <c r="D6" s="7" t="s">
        <v>17</v>
      </c>
      <c r="E6" s="67" t="s">
        <v>11</v>
      </c>
      <c r="F6" s="68"/>
      <c r="G6" s="13">
        <f>COUNTIF(E5:AH5,"H")</f>
        <v>20</v>
      </c>
      <c r="H6" s="67" t="s">
        <v>12</v>
      </c>
      <c r="I6" s="68"/>
      <c r="J6" s="13">
        <f>COUNTIF(E5:AH5,"T")</f>
        <v>5</v>
      </c>
      <c r="K6" s="67" t="s">
        <v>13</v>
      </c>
      <c r="L6" s="68"/>
      <c r="M6" s="13">
        <f>COUNTIF(E5:AH5,"A") + COUNTIF(E5:AH5,"I")</f>
        <v>5</v>
      </c>
      <c r="N6" s="67" t="s">
        <v>14</v>
      </c>
      <c r="O6" s="68"/>
      <c r="P6" s="13">
        <f>IF((G6+J6+M6)=0,0,(G6+J6)/(G6+J6+M6)*100)</f>
        <v>83.333333333333343</v>
      </c>
      <c r="Q6" s="67"/>
      <c r="R6" s="68"/>
      <c r="S6" s="13"/>
      <c r="T6" s="67"/>
      <c r="U6" s="68"/>
      <c r="V6" s="14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6"/>
    </row>
    <row r="7" spans="1:36" ht="22" customHeight="1" x14ac:dyDescent="0.25">
      <c r="A7" s="5"/>
      <c r="B7" s="72" t="s">
        <v>23</v>
      </c>
      <c r="C7" s="72"/>
      <c r="D7" s="72"/>
      <c r="E7" s="16" t="s">
        <v>8</v>
      </c>
      <c r="F7" s="16" t="s">
        <v>0</v>
      </c>
      <c r="G7" s="17" t="s">
        <v>8</v>
      </c>
      <c r="H7" s="17" t="s">
        <v>8</v>
      </c>
      <c r="I7" s="17" t="s">
        <v>8</v>
      </c>
      <c r="J7" s="17" t="s">
        <v>8</v>
      </c>
      <c r="K7" s="17" t="s">
        <v>8</v>
      </c>
      <c r="L7" s="19" t="s">
        <v>8</v>
      </c>
      <c r="M7" s="19" t="s">
        <v>9</v>
      </c>
      <c r="N7" s="18" t="s">
        <v>9</v>
      </c>
      <c r="O7" s="18" t="s">
        <v>8</v>
      </c>
      <c r="P7" s="18" t="s">
        <v>9</v>
      </c>
      <c r="Q7" s="18" t="s">
        <v>8</v>
      </c>
      <c r="R7" s="18" t="s">
        <v>8</v>
      </c>
      <c r="S7" s="18" t="s">
        <v>8</v>
      </c>
      <c r="T7" s="18" t="s">
        <v>8</v>
      </c>
      <c r="U7" s="18" t="s">
        <v>9</v>
      </c>
      <c r="V7" s="18" t="s">
        <v>8</v>
      </c>
      <c r="W7" s="18" t="s">
        <v>8</v>
      </c>
      <c r="X7" s="18" t="s">
        <v>8</v>
      </c>
      <c r="Y7" s="18" t="s">
        <v>9</v>
      </c>
      <c r="Z7" s="18" t="s">
        <v>0</v>
      </c>
      <c r="AA7" s="18" t="s">
        <v>0</v>
      </c>
      <c r="AB7" s="18" t="s">
        <v>8</v>
      </c>
      <c r="AC7" s="18" t="s">
        <v>8</v>
      </c>
      <c r="AD7" s="18" t="s">
        <v>8</v>
      </c>
      <c r="AE7" s="18" t="s">
        <v>8</v>
      </c>
      <c r="AF7" s="18" t="s">
        <v>8</v>
      </c>
      <c r="AG7" s="18" t="s">
        <v>8</v>
      </c>
      <c r="AH7" s="18" t="s">
        <v>0</v>
      </c>
      <c r="AI7" s="5"/>
    </row>
    <row r="8" spans="1:36" s="8" customFormat="1" ht="22" customHeight="1" thickBot="1" x14ac:dyDescent="0.3">
      <c r="A8" s="6"/>
      <c r="B8" s="65" t="s">
        <v>18</v>
      </c>
      <c r="C8" s="66"/>
      <c r="D8" s="7" t="s">
        <v>17</v>
      </c>
      <c r="E8" s="67" t="s">
        <v>11</v>
      </c>
      <c r="F8" s="68"/>
      <c r="G8" s="13">
        <f>COUNTIF(E7:AH7,"H")</f>
        <v>21</v>
      </c>
      <c r="H8" s="67" t="s">
        <v>12</v>
      </c>
      <c r="I8" s="68"/>
      <c r="J8" s="13">
        <f>COUNTIF(E7:AH7,"T")</f>
        <v>5</v>
      </c>
      <c r="K8" s="67" t="s">
        <v>13</v>
      </c>
      <c r="L8" s="68"/>
      <c r="M8" s="13">
        <f>COUNTIF(E7:AH7,"A") + COUNTIF(E7:AH7,"I")</f>
        <v>4</v>
      </c>
      <c r="N8" s="67" t="s">
        <v>14</v>
      </c>
      <c r="O8" s="68"/>
      <c r="P8" s="13">
        <f>IF((G8+J8+M8)=0,0,(G8+J8)/(G8+J8+M8)*100)</f>
        <v>86.666666666666671</v>
      </c>
      <c r="Q8" s="67"/>
      <c r="R8" s="68"/>
      <c r="S8" s="13"/>
      <c r="T8" s="67"/>
      <c r="U8" s="68"/>
      <c r="V8" s="14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6"/>
    </row>
    <row r="9" spans="1:36" ht="22" customHeight="1" x14ac:dyDescent="0.35">
      <c r="A9" s="2"/>
      <c r="B9" s="72" t="s">
        <v>24</v>
      </c>
      <c r="C9" s="72"/>
      <c r="D9" s="72"/>
      <c r="E9" s="16" t="s">
        <v>8</v>
      </c>
      <c r="F9" s="16" t="s">
        <v>8</v>
      </c>
      <c r="G9" s="17" t="s">
        <v>8</v>
      </c>
      <c r="H9" s="17" t="s">
        <v>8</v>
      </c>
      <c r="I9" s="17" t="s">
        <v>0</v>
      </c>
      <c r="J9" s="17" t="s">
        <v>8</v>
      </c>
      <c r="K9" s="17" t="s">
        <v>9</v>
      </c>
      <c r="L9" s="19" t="s">
        <v>8</v>
      </c>
      <c r="M9" s="19" t="s">
        <v>9</v>
      </c>
      <c r="N9" s="18" t="s">
        <v>8</v>
      </c>
      <c r="O9" s="18" t="s">
        <v>8</v>
      </c>
      <c r="P9" s="18" t="s">
        <v>9</v>
      </c>
      <c r="Q9" s="18" t="s">
        <v>8</v>
      </c>
      <c r="R9" s="18" t="s">
        <v>8</v>
      </c>
      <c r="S9" s="18" t="s">
        <v>9</v>
      </c>
      <c r="T9" s="18" t="s">
        <v>9</v>
      </c>
      <c r="U9" s="18" t="s">
        <v>9</v>
      </c>
      <c r="V9" s="18" t="s">
        <v>0</v>
      </c>
      <c r="W9" s="18" t="s">
        <v>8</v>
      </c>
      <c r="X9" s="18" t="s">
        <v>8</v>
      </c>
      <c r="Y9" s="18" t="s">
        <v>9</v>
      </c>
      <c r="Z9" s="18" t="s">
        <v>0</v>
      </c>
      <c r="AA9" s="18" t="s">
        <v>0</v>
      </c>
      <c r="AB9" s="18" t="s">
        <v>8</v>
      </c>
      <c r="AC9" s="18" t="s">
        <v>8</v>
      </c>
      <c r="AD9" s="18" t="s">
        <v>8</v>
      </c>
      <c r="AE9" s="18" t="s">
        <v>8</v>
      </c>
      <c r="AF9" s="18" t="s">
        <v>8</v>
      </c>
      <c r="AG9" s="18" t="s">
        <v>8</v>
      </c>
      <c r="AH9" s="18" t="s">
        <v>0</v>
      </c>
      <c r="AI9" s="2"/>
    </row>
    <row r="10" spans="1:36" s="8" customFormat="1" ht="22" customHeight="1" thickBot="1" x14ac:dyDescent="0.3">
      <c r="A10" s="6"/>
      <c r="B10" s="65" t="s">
        <v>18</v>
      </c>
      <c r="C10" s="66"/>
      <c r="D10" s="7" t="s">
        <v>17</v>
      </c>
      <c r="E10" s="67" t="s">
        <v>11</v>
      </c>
      <c r="F10" s="68"/>
      <c r="G10" s="13">
        <f>COUNTIF(E9:AH9,"H")</f>
        <v>18</v>
      </c>
      <c r="H10" s="67" t="s">
        <v>12</v>
      </c>
      <c r="I10" s="68"/>
      <c r="J10" s="13">
        <f>COUNTIF(E9:AH9,"T")</f>
        <v>7</v>
      </c>
      <c r="K10" s="67" t="s">
        <v>13</v>
      </c>
      <c r="L10" s="68"/>
      <c r="M10" s="13">
        <f>COUNTIF(E9:AH9,"A") + COUNTIF(E9:AH9,"I")</f>
        <v>5</v>
      </c>
      <c r="N10" s="67" t="s">
        <v>14</v>
      </c>
      <c r="O10" s="68"/>
      <c r="P10" s="13">
        <f>IF((G10+J10+M10)=0,0,(G10+J10)/(G10+J10+M10)*100)</f>
        <v>83.333333333333343</v>
      </c>
      <c r="Q10" s="67"/>
      <c r="R10" s="68"/>
      <c r="S10" s="13"/>
      <c r="T10" s="67"/>
      <c r="U10" s="68"/>
      <c r="V10" s="14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6"/>
    </row>
    <row r="11" spans="1:36" s="10" customFormat="1" ht="22" customHeight="1" x14ac:dyDescent="0.25">
      <c r="A11" s="9"/>
      <c r="B11" s="72" t="s">
        <v>25</v>
      </c>
      <c r="C11" s="72"/>
      <c r="D11" s="72"/>
      <c r="E11" s="16" t="s">
        <v>8</v>
      </c>
      <c r="F11" s="16" t="s">
        <v>0</v>
      </c>
      <c r="G11" s="17" t="s">
        <v>8</v>
      </c>
      <c r="H11" s="17" t="s">
        <v>8</v>
      </c>
      <c r="I11" s="17" t="s">
        <v>8</v>
      </c>
      <c r="J11" s="17" t="s">
        <v>8</v>
      </c>
      <c r="K11" s="17" t="s">
        <v>8</v>
      </c>
      <c r="L11" s="19" t="s">
        <v>8</v>
      </c>
      <c r="M11" s="19" t="s">
        <v>8</v>
      </c>
      <c r="N11" s="18" t="s">
        <v>8</v>
      </c>
      <c r="O11" s="18" t="s">
        <v>8</v>
      </c>
      <c r="P11" s="18" t="s">
        <v>8</v>
      </c>
      <c r="Q11" s="18" t="s">
        <v>8</v>
      </c>
      <c r="R11" s="18" t="s">
        <v>8</v>
      </c>
      <c r="S11" s="18" t="s">
        <v>8</v>
      </c>
      <c r="T11" s="18" t="s">
        <v>8</v>
      </c>
      <c r="U11" s="18" t="s">
        <v>9</v>
      </c>
      <c r="V11" s="18" t="s">
        <v>8</v>
      </c>
      <c r="W11" s="18" t="s">
        <v>8</v>
      </c>
      <c r="X11" s="18" t="s">
        <v>8</v>
      </c>
      <c r="Y11" s="18" t="s">
        <v>8</v>
      </c>
      <c r="Z11" s="18" t="s">
        <v>8</v>
      </c>
      <c r="AA11" s="18" t="s">
        <v>8</v>
      </c>
      <c r="AB11" s="18" t="s">
        <v>8</v>
      </c>
      <c r="AC11" s="18" t="s">
        <v>8</v>
      </c>
      <c r="AD11" s="18" t="s">
        <v>8</v>
      </c>
      <c r="AE11" s="18" t="s">
        <v>8</v>
      </c>
      <c r="AF11" s="18" t="s">
        <v>8</v>
      </c>
      <c r="AG11" s="18" t="s">
        <v>8</v>
      </c>
      <c r="AH11" s="18" t="s">
        <v>0</v>
      </c>
      <c r="AI11" s="9"/>
    </row>
    <row r="12" spans="1:36" s="8" customFormat="1" ht="22" customHeight="1" thickBot="1" x14ac:dyDescent="0.3">
      <c r="A12" s="6"/>
      <c r="B12" s="65" t="s">
        <v>18</v>
      </c>
      <c r="C12" s="66"/>
      <c r="D12" s="7" t="s">
        <v>17</v>
      </c>
      <c r="E12" s="67" t="s">
        <v>11</v>
      </c>
      <c r="F12" s="68"/>
      <c r="G12" s="13">
        <f>COUNTIF(E11:AH11,"H")</f>
        <v>27</v>
      </c>
      <c r="H12" s="67" t="s">
        <v>12</v>
      </c>
      <c r="I12" s="68"/>
      <c r="J12" s="13">
        <f>COUNTIF(E11:AH11,"T")</f>
        <v>1</v>
      </c>
      <c r="K12" s="67" t="s">
        <v>13</v>
      </c>
      <c r="L12" s="68"/>
      <c r="M12" s="13">
        <f>COUNTIF(E11:AH11,"A") + COUNTIF(E11:AH11,"I")</f>
        <v>2</v>
      </c>
      <c r="N12" s="67" t="s">
        <v>14</v>
      </c>
      <c r="O12" s="68"/>
      <c r="P12" s="13">
        <f>IF((G12+J12+M12)=0,0,(G12+J12)/(G12+J12+M12)*100)</f>
        <v>93.333333333333329</v>
      </c>
      <c r="Q12" s="67"/>
      <c r="R12" s="68"/>
      <c r="S12" s="13"/>
      <c r="T12" s="67"/>
      <c r="U12" s="68"/>
      <c r="V12" s="14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6"/>
    </row>
    <row r="13" spans="1:36" s="10" customFormat="1" ht="22" customHeight="1" x14ac:dyDescent="0.25">
      <c r="A13" s="9"/>
      <c r="B13" s="72" t="s">
        <v>26</v>
      </c>
      <c r="C13" s="72"/>
      <c r="D13" s="72"/>
      <c r="E13" s="16" t="s">
        <v>8</v>
      </c>
      <c r="F13" s="16" t="s">
        <v>8</v>
      </c>
      <c r="G13" s="17" t="s">
        <v>8</v>
      </c>
      <c r="H13" s="17" t="s">
        <v>8</v>
      </c>
      <c r="I13" s="17" t="s">
        <v>8</v>
      </c>
      <c r="J13" s="17" t="s">
        <v>0</v>
      </c>
      <c r="K13" s="17" t="s">
        <v>8</v>
      </c>
      <c r="L13" s="19" t="s">
        <v>8</v>
      </c>
      <c r="M13" s="19" t="s">
        <v>8</v>
      </c>
      <c r="N13" s="18" t="s">
        <v>8</v>
      </c>
      <c r="O13" s="18" t="s">
        <v>8</v>
      </c>
      <c r="P13" s="18" t="s">
        <v>9</v>
      </c>
      <c r="Q13" s="18" t="s">
        <v>8</v>
      </c>
      <c r="R13" s="18" t="s">
        <v>8</v>
      </c>
      <c r="S13" s="18" t="s">
        <v>8</v>
      </c>
      <c r="T13" s="18" t="s">
        <v>0</v>
      </c>
      <c r="U13" s="18" t="s">
        <v>9</v>
      </c>
      <c r="V13" s="18" t="s">
        <v>8</v>
      </c>
      <c r="W13" s="18" t="s">
        <v>8</v>
      </c>
      <c r="X13" s="18" t="s">
        <v>0</v>
      </c>
      <c r="Y13" s="18" t="s">
        <v>9</v>
      </c>
      <c r="Z13" s="18" t="s">
        <v>8</v>
      </c>
      <c r="AA13" s="18" t="s">
        <v>8</v>
      </c>
      <c r="AB13" s="18" t="s">
        <v>8</v>
      </c>
      <c r="AC13" s="18" t="s">
        <v>8</v>
      </c>
      <c r="AD13" s="18" t="s">
        <v>8</v>
      </c>
      <c r="AE13" s="18" t="s">
        <v>8</v>
      </c>
      <c r="AF13" s="18" t="s">
        <v>8</v>
      </c>
      <c r="AG13" s="18" t="s">
        <v>8</v>
      </c>
      <c r="AH13" s="18" t="s">
        <v>0</v>
      </c>
      <c r="AI13" s="9"/>
    </row>
    <row r="14" spans="1:36" s="8" customFormat="1" ht="22" customHeight="1" thickBot="1" x14ac:dyDescent="0.3">
      <c r="A14" s="6"/>
      <c r="B14" s="65" t="s">
        <v>18</v>
      </c>
      <c r="C14" s="66"/>
      <c r="D14" s="7" t="s">
        <v>17</v>
      </c>
      <c r="E14" s="67" t="s">
        <v>11</v>
      </c>
      <c r="F14" s="68"/>
      <c r="G14" s="13">
        <f>COUNTIF(E13:AH13,"H")</f>
        <v>23</v>
      </c>
      <c r="H14" s="67" t="s">
        <v>12</v>
      </c>
      <c r="I14" s="68"/>
      <c r="J14" s="13">
        <f>COUNTIF(E13:AH13,"T")</f>
        <v>3</v>
      </c>
      <c r="K14" s="67" t="s">
        <v>13</v>
      </c>
      <c r="L14" s="68"/>
      <c r="M14" s="13">
        <f>COUNTIF(E13:AH13,"A") + COUNTIF(E13:AH13,"I")</f>
        <v>4</v>
      </c>
      <c r="N14" s="67" t="s">
        <v>14</v>
      </c>
      <c r="O14" s="68"/>
      <c r="P14" s="13">
        <f>IF((G14+J14+M14)=0,0,(G14+J14)/(G14+J14+M14)*100)</f>
        <v>86.666666666666671</v>
      </c>
      <c r="Q14" s="67"/>
      <c r="R14" s="68"/>
      <c r="S14" s="13"/>
      <c r="T14" s="67"/>
      <c r="U14" s="68"/>
      <c r="V14" s="14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6"/>
    </row>
    <row r="15" spans="1:36" s="10" customFormat="1" ht="22" customHeight="1" x14ac:dyDescent="0.25">
      <c r="A15" s="9"/>
      <c r="B15" s="72" t="s">
        <v>27</v>
      </c>
      <c r="C15" s="72"/>
      <c r="D15" s="72"/>
      <c r="E15" s="16" t="s">
        <v>8</v>
      </c>
      <c r="F15" s="16" t="s">
        <v>0</v>
      </c>
      <c r="G15" s="17" t="s">
        <v>8</v>
      </c>
      <c r="H15" s="17" t="s">
        <v>8</v>
      </c>
      <c r="I15" s="17" t="s">
        <v>8</v>
      </c>
      <c r="J15" s="17" t="s">
        <v>8</v>
      </c>
      <c r="K15" s="17" t="s">
        <v>8</v>
      </c>
      <c r="L15" s="19" t="s">
        <v>8</v>
      </c>
      <c r="M15" s="19" t="s">
        <v>9</v>
      </c>
      <c r="N15" s="18" t="s">
        <v>9</v>
      </c>
      <c r="O15" s="18" t="s">
        <v>8</v>
      </c>
      <c r="P15" s="18" t="s">
        <v>9</v>
      </c>
      <c r="Q15" s="18" t="s">
        <v>8</v>
      </c>
      <c r="R15" s="18" t="s">
        <v>8</v>
      </c>
      <c r="S15" s="18" t="s">
        <v>8</v>
      </c>
      <c r="T15" s="18" t="s">
        <v>8</v>
      </c>
      <c r="U15" s="18" t="s">
        <v>9</v>
      </c>
      <c r="V15" s="18" t="s">
        <v>8</v>
      </c>
      <c r="W15" s="18" t="s">
        <v>8</v>
      </c>
      <c r="X15" s="18" t="s">
        <v>8</v>
      </c>
      <c r="Y15" s="18" t="s">
        <v>9</v>
      </c>
      <c r="Z15" s="18" t="s">
        <v>0</v>
      </c>
      <c r="AA15" s="18" t="s">
        <v>0</v>
      </c>
      <c r="AB15" s="18" t="s">
        <v>8</v>
      </c>
      <c r="AC15" s="18" t="s">
        <v>8</v>
      </c>
      <c r="AD15" s="18" t="s">
        <v>8</v>
      </c>
      <c r="AE15" s="18" t="s">
        <v>8</v>
      </c>
      <c r="AF15" s="18" t="s">
        <v>8</v>
      </c>
      <c r="AG15" s="18" t="s">
        <v>8</v>
      </c>
      <c r="AH15" s="18" t="s">
        <v>0</v>
      </c>
      <c r="AI15" s="9"/>
    </row>
    <row r="16" spans="1:36" s="8" customFormat="1" ht="22" customHeight="1" thickBot="1" x14ac:dyDescent="0.3">
      <c r="A16" s="6"/>
      <c r="B16" s="65" t="s">
        <v>18</v>
      </c>
      <c r="C16" s="66"/>
      <c r="D16" s="7" t="s">
        <v>17</v>
      </c>
      <c r="E16" s="67" t="s">
        <v>11</v>
      </c>
      <c r="F16" s="68"/>
      <c r="G16" s="13">
        <f>COUNTIF(E15:AH15,"H")</f>
        <v>21</v>
      </c>
      <c r="H16" s="67" t="s">
        <v>12</v>
      </c>
      <c r="I16" s="68"/>
      <c r="J16" s="13">
        <f>COUNTIF(E15:AH15,"T")</f>
        <v>5</v>
      </c>
      <c r="K16" s="67" t="s">
        <v>13</v>
      </c>
      <c r="L16" s="68"/>
      <c r="M16" s="13">
        <f>COUNTIF(E15:AH15,"A") + COUNTIF(E15:AH15,"I")</f>
        <v>4</v>
      </c>
      <c r="N16" s="67" t="s">
        <v>14</v>
      </c>
      <c r="O16" s="68"/>
      <c r="P16" s="13">
        <f>IF((G16+J16+M16)=0,0,(G16+J16)/(G16+J16+M16)*100)</f>
        <v>86.666666666666671</v>
      </c>
      <c r="Q16" s="67"/>
      <c r="R16" s="68"/>
      <c r="S16" s="13"/>
      <c r="T16" s="67"/>
      <c r="U16" s="68"/>
      <c r="V16" s="14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6"/>
    </row>
    <row r="17" spans="1:35" s="10" customFormat="1" ht="22" customHeight="1" x14ac:dyDescent="0.25">
      <c r="A17" s="9"/>
      <c r="B17" s="72" t="s">
        <v>28</v>
      </c>
      <c r="C17" s="72"/>
      <c r="D17" s="72"/>
      <c r="E17" s="16" t="s">
        <v>8</v>
      </c>
      <c r="F17" s="16" t="s">
        <v>0</v>
      </c>
      <c r="G17" s="17" t="s">
        <v>8</v>
      </c>
      <c r="H17" s="17" t="s">
        <v>8</v>
      </c>
      <c r="I17" s="17" t="s">
        <v>8</v>
      </c>
      <c r="J17" s="17" t="s">
        <v>8</v>
      </c>
      <c r="K17" s="17" t="s">
        <v>8</v>
      </c>
      <c r="L17" s="19" t="s">
        <v>8</v>
      </c>
      <c r="M17" s="19" t="s">
        <v>9</v>
      </c>
      <c r="N17" s="18" t="s">
        <v>9</v>
      </c>
      <c r="O17" s="18" t="s">
        <v>8</v>
      </c>
      <c r="P17" s="18" t="s">
        <v>9</v>
      </c>
      <c r="Q17" s="18" t="s">
        <v>8</v>
      </c>
      <c r="R17" s="18" t="s">
        <v>8</v>
      </c>
      <c r="S17" s="18" t="s">
        <v>8</v>
      </c>
      <c r="T17" s="18" t="s">
        <v>8</v>
      </c>
      <c r="U17" s="18" t="s">
        <v>9</v>
      </c>
      <c r="V17" s="18" t="s">
        <v>8</v>
      </c>
      <c r="W17" s="18" t="s">
        <v>8</v>
      </c>
      <c r="X17" s="18" t="s">
        <v>8</v>
      </c>
      <c r="Y17" s="18" t="s">
        <v>9</v>
      </c>
      <c r="Z17" s="18" t="s">
        <v>0</v>
      </c>
      <c r="AA17" s="18" t="s">
        <v>0</v>
      </c>
      <c r="AB17" s="18" t="s">
        <v>8</v>
      </c>
      <c r="AC17" s="18" t="s">
        <v>8</v>
      </c>
      <c r="AD17" s="18" t="s">
        <v>8</v>
      </c>
      <c r="AE17" s="18" t="s">
        <v>8</v>
      </c>
      <c r="AF17" s="18" t="s">
        <v>8</v>
      </c>
      <c r="AG17" s="18" t="s">
        <v>8</v>
      </c>
      <c r="AH17" s="18" t="s">
        <v>0</v>
      </c>
      <c r="AI17" s="9"/>
    </row>
    <row r="18" spans="1:35" s="8" customFormat="1" ht="22" customHeight="1" thickBot="1" x14ac:dyDescent="0.3">
      <c r="A18" s="6"/>
      <c r="B18" s="65" t="s">
        <v>18</v>
      </c>
      <c r="C18" s="66"/>
      <c r="D18" s="7" t="s">
        <v>17</v>
      </c>
      <c r="E18" s="67" t="s">
        <v>11</v>
      </c>
      <c r="F18" s="68"/>
      <c r="G18" s="13">
        <f>COUNTIF(E17:AH17,"H")</f>
        <v>21</v>
      </c>
      <c r="H18" s="67" t="s">
        <v>12</v>
      </c>
      <c r="I18" s="68"/>
      <c r="J18" s="13">
        <f>COUNTIF(E17:AH17,"T")</f>
        <v>5</v>
      </c>
      <c r="K18" s="67" t="s">
        <v>13</v>
      </c>
      <c r="L18" s="68"/>
      <c r="M18" s="13">
        <f>COUNTIF(E17:AH17,"A") + COUNTIF(E17:AH17,"I")</f>
        <v>4</v>
      </c>
      <c r="N18" s="67" t="s">
        <v>14</v>
      </c>
      <c r="O18" s="68"/>
      <c r="P18" s="13">
        <f>IF((G18+J18+M18)=0,0,(G18+J18)/(G18+J18+M18)*100)</f>
        <v>86.666666666666671</v>
      </c>
      <c r="Q18" s="67"/>
      <c r="R18" s="68"/>
      <c r="S18" s="13"/>
      <c r="T18" s="67"/>
      <c r="U18" s="68"/>
      <c r="V18" s="14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6"/>
    </row>
    <row r="19" spans="1:35" s="10" customFormat="1" ht="22" customHeight="1" x14ac:dyDescent="0.25">
      <c r="A19" s="9"/>
      <c r="B19" s="72" t="s">
        <v>29</v>
      </c>
      <c r="C19" s="72"/>
      <c r="D19" s="72"/>
      <c r="E19" s="16" t="s">
        <v>8</v>
      </c>
      <c r="F19" s="16" t="s">
        <v>0</v>
      </c>
      <c r="G19" s="17" t="s">
        <v>8</v>
      </c>
      <c r="H19" s="17" t="s">
        <v>8</v>
      </c>
      <c r="I19" s="17" t="s">
        <v>8</v>
      </c>
      <c r="J19" s="17" t="s">
        <v>8</v>
      </c>
      <c r="K19" s="17" t="s">
        <v>8</v>
      </c>
      <c r="L19" s="19" t="s">
        <v>8</v>
      </c>
      <c r="M19" s="19" t="s">
        <v>9</v>
      </c>
      <c r="N19" s="18" t="s">
        <v>9</v>
      </c>
      <c r="O19" s="18" t="s">
        <v>8</v>
      </c>
      <c r="P19" s="18" t="s">
        <v>9</v>
      </c>
      <c r="Q19" s="18" t="s">
        <v>8</v>
      </c>
      <c r="R19" s="18" t="s">
        <v>8</v>
      </c>
      <c r="S19" s="18" t="s">
        <v>8</v>
      </c>
      <c r="T19" s="18" t="s">
        <v>8</v>
      </c>
      <c r="U19" s="18" t="s">
        <v>9</v>
      </c>
      <c r="V19" s="18" t="s">
        <v>8</v>
      </c>
      <c r="W19" s="18" t="s">
        <v>8</v>
      </c>
      <c r="X19" s="18" t="s">
        <v>8</v>
      </c>
      <c r="Y19" s="18" t="s">
        <v>9</v>
      </c>
      <c r="Z19" s="18" t="s">
        <v>0</v>
      </c>
      <c r="AA19" s="18" t="s">
        <v>0</v>
      </c>
      <c r="AB19" s="18" t="s">
        <v>8</v>
      </c>
      <c r="AC19" s="18" t="s">
        <v>8</v>
      </c>
      <c r="AD19" s="18" t="s">
        <v>8</v>
      </c>
      <c r="AE19" s="18" t="s">
        <v>8</v>
      </c>
      <c r="AF19" s="18" t="s">
        <v>8</v>
      </c>
      <c r="AG19" s="18" t="s">
        <v>8</v>
      </c>
      <c r="AH19" s="18" t="s">
        <v>0</v>
      </c>
      <c r="AI19" s="9"/>
    </row>
    <row r="20" spans="1:35" s="8" customFormat="1" ht="22" customHeight="1" thickBot="1" x14ac:dyDescent="0.3">
      <c r="A20" s="6"/>
      <c r="B20" s="65" t="s">
        <v>18</v>
      </c>
      <c r="C20" s="66"/>
      <c r="D20" s="7" t="s">
        <v>17</v>
      </c>
      <c r="E20" s="67" t="s">
        <v>11</v>
      </c>
      <c r="F20" s="68"/>
      <c r="G20" s="13">
        <f>COUNTIF(E19:AH19,"H")</f>
        <v>21</v>
      </c>
      <c r="H20" s="67" t="s">
        <v>12</v>
      </c>
      <c r="I20" s="68"/>
      <c r="J20" s="13">
        <f>COUNTIF(E19:AH19,"T")</f>
        <v>5</v>
      </c>
      <c r="K20" s="67" t="s">
        <v>13</v>
      </c>
      <c r="L20" s="68"/>
      <c r="M20" s="13">
        <f>COUNTIF(E19:AH19,"A") + COUNTIF(E19:AH19,"I")</f>
        <v>4</v>
      </c>
      <c r="N20" s="67" t="s">
        <v>14</v>
      </c>
      <c r="O20" s="68"/>
      <c r="P20" s="13">
        <f>IF((G20+J20+M20)=0,0,(G20+J20)/(G20+J20+M20)*100)</f>
        <v>86.666666666666671</v>
      </c>
      <c r="Q20" s="67"/>
      <c r="R20" s="68"/>
      <c r="S20" s="13"/>
      <c r="T20" s="67"/>
      <c r="U20" s="68"/>
      <c r="V20" s="14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6"/>
    </row>
    <row r="21" spans="1:35" ht="22" customHeight="1" x14ac:dyDescent="0.35">
      <c r="A21" s="2"/>
      <c r="B21" s="72" t="s">
        <v>30</v>
      </c>
      <c r="C21" s="72"/>
      <c r="D21" s="72"/>
      <c r="E21" s="16" t="s">
        <v>8</v>
      </c>
      <c r="F21" s="16" t="s">
        <v>0</v>
      </c>
      <c r="G21" s="17" t="s">
        <v>8</v>
      </c>
      <c r="H21" s="17" t="s">
        <v>8</v>
      </c>
      <c r="I21" s="17" t="s">
        <v>8</v>
      </c>
      <c r="J21" s="17" t="s">
        <v>8</v>
      </c>
      <c r="K21" s="17" t="s">
        <v>8</v>
      </c>
      <c r="L21" s="19" t="s">
        <v>8</v>
      </c>
      <c r="M21" s="19" t="s">
        <v>9</v>
      </c>
      <c r="N21" s="18" t="s">
        <v>9</v>
      </c>
      <c r="O21" s="18" t="s">
        <v>8</v>
      </c>
      <c r="P21" s="18" t="s">
        <v>9</v>
      </c>
      <c r="Q21" s="18" t="s">
        <v>8</v>
      </c>
      <c r="R21" s="18" t="s">
        <v>8</v>
      </c>
      <c r="S21" s="18" t="s">
        <v>8</v>
      </c>
      <c r="T21" s="18" t="s">
        <v>8</v>
      </c>
      <c r="U21" s="18" t="s">
        <v>9</v>
      </c>
      <c r="V21" s="18" t="s">
        <v>8</v>
      </c>
      <c r="W21" s="18" t="s">
        <v>8</v>
      </c>
      <c r="X21" s="18" t="s">
        <v>8</v>
      </c>
      <c r="Y21" s="18" t="s">
        <v>9</v>
      </c>
      <c r="Z21" s="18" t="s">
        <v>0</v>
      </c>
      <c r="AA21" s="18" t="s">
        <v>0</v>
      </c>
      <c r="AB21" s="18" t="s">
        <v>8</v>
      </c>
      <c r="AC21" s="18" t="s">
        <v>8</v>
      </c>
      <c r="AD21" s="18" t="s">
        <v>8</v>
      </c>
      <c r="AE21" s="18" t="s">
        <v>8</v>
      </c>
      <c r="AF21" s="18" t="s">
        <v>8</v>
      </c>
      <c r="AG21" s="18" t="s">
        <v>8</v>
      </c>
      <c r="AH21" s="18" t="s">
        <v>0</v>
      </c>
      <c r="AI21" s="2"/>
    </row>
    <row r="22" spans="1:35" s="8" customFormat="1" ht="22" customHeight="1" thickBot="1" x14ac:dyDescent="0.3">
      <c r="A22" s="6"/>
      <c r="B22" s="65" t="s">
        <v>18</v>
      </c>
      <c r="C22" s="66"/>
      <c r="D22" s="7" t="s">
        <v>17</v>
      </c>
      <c r="E22" s="67" t="s">
        <v>11</v>
      </c>
      <c r="F22" s="68"/>
      <c r="G22" s="13">
        <f>COUNTIF(E21:AH21,"H")</f>
        <v>21</v>
      </c>
      <c r="H22" s="67" t="s">
        <v>12</v>
      </c>
      <c r="I22" s="68"/>
      <c r="J22" s="13">
        <f>COUNTIF(E21:AH21,"T")</f>
        <v>5</v>
      </c>
      <c r="K22" s="67" t="s">
        <v>13</v>
      </c>
      <c r="L22" s="68"/>
      <c r="M22" s="13">
        <f>COUNTIF(E21:AH21,"A") + COUNTIF(E21:AH21,"I")</f>
        <v>4</v>
      </c>
      <c r="N22" s="67" t="s">
        <v>14</v>
      </c>
      <c r="O22" s="68"/>
      <c r="P22" s="13">
        <f>IF((G22+J22+M22)=0,0,(G22+J22)/(G22+J22+M22)*100)</f>
        <v>86.666666666666671</v>
      </c>
      <c r="Q22" s="67"/>
      <c r="R22" s="68"/>
      <c r="S22" s="13"/>
      <c r="T22" s="67"/>
      <c r="U22" s="68"/>
      <c r="V22" s="14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6"/>
    </row>
    <row r="23" spans="1:35" ht="22" customHeight="1" x14ac:dyDescent="0.35">
      <c r="A23" s="2"/>
      <c r="B23" s="72" t="s">
        <v>31</v>
      </c>
      <c r="C23" s="72"/>
      <c r="D23" s="72"/>
      <c r="E23" s="16" t="s">
        <v>8</v>
      </c>
      <c r="F23" s="16" t="s">
        <v>0</v>
      </c>
      <c r="G23" s="17" t="s">
        <v>8</v>
      </c>
      <c r="H23" s="17" t="s">
        <v>8</v>
      </c>
      <c r="I23" s="17" t="s">
        <v>8</v>
      </c>
      <c r="J23" s="17" t="s">
        <v>8</v>
      </c>
      <c r="K23" s="17" t="s">
        <v>8</v>
      </c>
      <c r="L23" s="19" t="s">
        <v>8</v>
      </c>
      <c r="M23" s="19" t="s">
        <v>9</v>
      </c>
      <c r="N23" s="18" t="s">
        <v>9</v>
      </c>
      <c r="O23" s="18" t="s">
        <v>8</v>
      </c>
      <c r="P23" s="18" t="s">
        <v>9</v>
      </c>
      <c r="Q23" s="18" t="s">
        <v>8</v>
      </c>
      <c r="R23" s="18" t="s">
        <v>8</v>
      </c>
      <c r="S23" s="18" t="s">
        <v>8</v>
      </c>
      <c r="T23" s="18" t="s">
        <v>8</v>
      </c>
      <c r="U23" s="18" t="s">
        <v>9</v>
      </c>
      <c r="V23" s="18" t="s">
        <v>8</v>
      </c>
      <c r="W23" s="18" t="s">
        <v>8</v>
      </c>
      <c r="X23" s="18" t="s">
        <v>8</v>
      </c>
      <c r="Y23" s="18" t="s">
        <v>9</v>
      </c>
      <c r="Z23" s="18" t="s">
        <v>0</v>
      </c>
      <c r="AA23" s="18" t="s">
        <v>0</v>
      </c>
      <c r="AB23" s="18" t="s">
        <v>8</v>
      </c>
      <c r="AC23" s="18" t="s">
        <v>8</v>
      </c>
      <c r="AD23" s="18" t="s">
        <v>8</v>
      </c>
      <c r="AE23" s="18" t="s">
        <v>8</v>
      </c>
      <c r="AF23" s="18" t="s">
        <v>8</v>
      </c>
      <c r="AG23" s="18" t="s">
        <v>8</v>
      </c>
      <c r="AH23" s="18" t="s">
        <v>0</v>
      </c>
      <c r="AI23" s="2"/>
    </row>
    <row r="24" spans="1:35" s="8" customFormat="1" ht="22" customHeight="1" thickBot="1" x14ac:dyDescent="0.3">
      <c r="A24" s="6"/>
      <c r="B24" s="65" t="s">
        <v>18</v>
      </c>
      <c r="C24" s="66"/>
      <c r="D24" s="7" t="s">
        <v>17</v>
      </c>
      <c r="E24" s="67" t="s">
        <v>11</v>
      </c>
      <c r="F24" s="68"/>
      <c r="G24" s="13">
        <f>COUNTIF(E23:AH23,"H")</f>
        <v>21</v>
      </c>
      <c r="H24" s="67" t="s">
        <v>12</v>
      </c>
      <c r="I24" s="68"/>
      <c r="J24" s="13">
        <f>COUNTIF(E23:AH23,"T")</f>
        <v>5</v>
      </c>
      <c r="K24" s="67" t="s">
        <v>13</v>
      </c>
      <c r="L24" s="68"/>
      <c r="M24" s="13">
        <f>COUNTIF(E23:AH23,"A") + COUNTIF(E23:AH23,"I")</f>
        <v>4</v>
      </c>
      <c r="N24" s="67" t="s">
        <v>14</v>
      </c>
      <c r="O24" s="68"/>
      <c r="P24" s="13">
        <f>IF((G24+J24+M24)=0,0,(G24+J24)/(G24+J24+M24)*100)</f>
        <v>86.666666666666671</v>
      </c>
      <c r="Q24" s="67"/>
      <c r="R24" s="68"/>
      <c r="S24" s="13"/>
      <c r="T24" s="67"/>
      <c r="U24" s="68"/>
      <c r="V24" s="14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6"/>
    </row>
    <row r="25" spans="1:35" s="10" customFormat="1" ht="22" customHeight="1" x14ac:dyDescent="0.25">
      <c r="A25" s="9"/>
      <c r="B25" s="72" t="s">
        <v>32</v>
      </c>
      <c r="C25" s="72"/>
      <c r="D25" s="72"/>
      <c r="E25" s="16" t="s">
        <v>8</v>
      </c>
      <c r="F25" s="16" t="s">
        <v>0</v>
      </c>
      <c r="G25" s="17" t="s">
        <v>8</v>
      </c>
      <c r="H25" s="17" t="s">
        <v>8</v>
      </c>
      <c r="I25" s="17" t="s">
        <v>8</v>
      </c>
      <c r="J25" s="17" t="s">
        <v>8</v>
      </c>
      <c r="K25" s="17" t="s">
        <v>8</v>
      </c>
      <c r="L25" s="19" t="s">
        <v>8</v>
      </c>
      <c r="M25" s="19" t="s">
        <v>9</v>
      </c>
      <c r="N25" s="18" t="s">
        <v>9</v>
      </c>
      <c r="O25" s="18" t="s">
        <v>8</v>
      </c>
      <c r="P25" s="18" t="s">
        <v>9</v>
      </c>
      <c r="Q25" s="18" t="s">
        <v>8</v>
      </c>
      <c r="R25" s="18" t="s">
        <v>8</v>
      </c>
      <c r="S25" s="18" t="s">
        <v>8</v>
      </c>
      <c r="T25" s="18" t="s">
        <v>8</v>
      </c>
      <c r="U25" s="18" t="s">
        <v>9</v>
      </c>
      <c r="V25" s="18" t="s">
        <v>8</v>
      </c>
      <c r="W25" s="18" t="s">
        <v>8</v>
      </c>
      <c r="X25" s="18" t="s">
        <v>8</v>
      </c>
      <c r="Y25" s="18" t="s">
        <v>9</v>
      </c>
      <c r="Z25" s="18" t="s">
        <v>0</v>
      </c>
      <c r="AA25" s="18" t="s">
        <v>0</v>
      </c>
      <c r="AB25" s="18" t="s">
        <v>8</v>
      </c>
      <c r="AC25" s="18" t="s">
        <v>8</v>
      </c>
      <c r="AD25" s="18" t="s">
        <v>8</v>
      </c>
      <c r="AE25" s="18" t="s">
        <v>8</v>
      </c>
      <c r="AF25" s="18" t="s">
        <v>8</v>
      </c>
      <c r="AG25" s="18" t="s">
        <v>8</v>
      </c>
      <c r="AH25" s="18" t="s">
        <v>0</v>
      </c>
      <c r="AI25" s="9"/>
    </row>
    <row r="26" spans="1:35" s="8" customFormat="1" ht="22" customHeight="1" thickBot="1" x14ac:dyDescent="0.3">
      <c r="A26" s="6"/>
      <c r="B26" s="65" t="s">
        <v>18</v>
      </c>
      <c r="C26" s="66"/>
      <c r="D26" s="7" t="s">
        <v>17</v>
      </c>
      <c r="E26" s="67" t="s">
        <v>11</v>
      </c>
      <c r="F26" s="68"/>
      <c r="G26" s="13">
        <f>COUNTIF(E25:AH25,"H")</f>
        <v>21</v>
      </c>
      <c r="H26" s="67" t="s">
        <v>12</v>
      </c>
      <c r="I26" s="68"/>
      <c r="J26" s="13">
        <f>COUNTIF(E25:AH25,"T")</f>
        <v>5</v>
      </c>
      <c r="K26" s="67" t="s">
        <v>13</v>
      </c>
      <c r="L26" s="68"/>
      <c r="M26" s="13">
        <f>COUNTIF(E25:AH25,"A") + COUNTIF(E25:AH25,"I")</f>
        <v>4</v>
      </c>
      <c r="N26" s="67" t="s">
        <v>14</v>
      </c>
      <c r="O26" s="68"/>
      <c r="P26" s="13">
        <f>IF((G26+J26+M26)=0,0,(G26+J26)/(G26+J26+M26)*100)</f>
        <v>86.666666666666671</v>
      </c>
      <c r="Q26" s="67"/>
      <c r="R26" s="68"/>
      <c r="S26" s="13"/>
      <c r="T26" s="67"/>
      <c r="U26" s="68"/>
      <c r="V26" s="14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6"/>
    </row>
    <row r="27" spans="1:35" ht="22" customHeight="1" x14ac:dyDescent="0.35">
      <c r="A27" s="2"/>
      <c r="B27" s="72" t="s">
        <v>33</v>
      </c>
      <c r="C27" s="72"/>
      <c r="D27" s="72"/>
      <c r="E27" s="16" t="s">
        <v>8</v>
      </c>
      <c r="F27" s="16" t="s">
        <v>0</v>
      </c>
      <c r="G27" s="17" t="s">
        <v>8</v>
      </c>
      <c r="H27" s="17" t="s">
        <v>8</v>
      </c>
      <c r="I27" s="17" t="s">
        <v>8</v>
      </c>
      <c r="J27" s="17" t="s">
        <v>8</v>
      </c>
      <c r="K27" s="17" t="s">
        <v>8</v>
      </c>
      <c r="L27" s="19" t="s">
        <v>8</v>
      </c>
      <c r="M27" s="19" t="s">
        <v>9</v>
      </c>
      <c r="N27" s="18" t="s">
        <v>9</v>
      </c>
      <c r="O27" s="18" t="s">
        <v>8</v>
      </c>
      <c r="P27" s="18" t="s">
        <v>9</v>
      </c>
      <c r="Q27" s="18" t="s">
        <v>8</v>
      </c>
      <c r="R27" s="18" t="s">
        <v>8</v>
      </c>
      <c r="S27" s="18" t="s">
        <v>8</v>
      </c>
      <c r="T27" s="18" t="s">
        <v>8</v>
      </c>
      <c r="U27" s="18" t="s">
        <v>9</v>
      </c>
      <c r="V27" s="18" t="s">
        <v>8</v>
      </c>
      <c r="W27" s="18" t="s">
        <v>8</v>
      </c>
      <c r="X27" s="18" t="s">
        <v>8</v>
      </c>
      <c r="Y27" s="18" t="s">
        <v>9</v>
      </c>
      <c r="Z27" s="18" t="s">
        <v>0</v>
      </c>
      <c r="AA27" s="18" t="s">
        <v>0</v>
      </c>
      <c r="AB27" s="18" t="s">
        <v>8</v>
      </c>
      <c r="AC27" s="18" t="s">
        <v>8</v>
      </c>
      <c r="AD27" s="18" t="s">
        <v>8</v>
      </c>
      <c r="AE27" s="18" t="s">
        <v>8</v>
      </c>
      <c r="AF27" s="18" t="s">
        <v>8</v>
      </c>
      <c r="AG27" s="18" t="s">
        <v>8</v>
      </c>
      <c r="AH27" s="18" t="s">
        <v>0</v>
      </c>
      <c r="AI27" s="2"/>
    </row>
    <row r="28" spans="1:35" s="8" customFormat="1" ht="22" customHeight="1" thickBot="1" x14ac:dyDescent="0.3">
      <c r="A28" s="6"/>
      <c r="B28" s="65" t="s">
        <v>18</v>
      </c>
      <c r="C28" s="66"/>
      <c r="D28" s="7" t="s">
        <v>17</v>
      </c>
      <c r="E28" s="67" t="s">
        <v>11</v>
      </c>
      <c r="F28" s="68"/>
      <c r="G28" s="13">
        <f>COUNTIF(E27:AH27,"H")</f>
        <v>21</v>
      </c>
      <c r="H28" s="67" t="s">
        <v>12</v>
      </c>
      <c r="I28" s="68"/>
      <c r="J28" s="13">
        <f>COUNTIF(E27:AH27,"T")</f>
        <v>5</v>
      </c>
      <c r="K28" s="67" t="s">
        <v>13</v>
      </c>
      <c r="L28" s="68"/>
      <c r="M28" s="13">
        <f>COUNTIF(E27:AH27,"A") + COUNTIF(E27:AH27,"I")</f>
        <v>4</v>
      </c>
      <c r="N28" s="67" t="s">
        <v>14</v>
      </c>
      <c r="O28" s="68"/>
      <c r="P28" s="13">
        <f>IF((G28+J28+M28)=0,0,(G28+J28)/(G28+J28+M28)*100)</f>
        <v>86.666666666666671</v>
      </c>
      <c r="Q28" s="67"/>
      <c r="R28" s="68"/>
      <c r="S28" s="13"/>
      <c r="T28" s="67"/>
      <c r="U28" s="68"/>
      <c r="V28" s="14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6"/>
    </row>
    <row r="29" spans="1:35" s="10" customFormat="1" ht="22" customHeight="1" x14ac:dyDescent="0.25">
      <c r="A29" s="9"/>
      <c r="B29" s="72" t="s">
        <v>34</v>
      </c>
      <c r="C29" s="72"/>
      <c r="D29" s="72"/>
      <c r="E29" s="16" t="s">
        <v>8</v>
      </c>
      <c r="F29" s="16" t="s">
        <v>0</v>
      </c>
      <c r="G29" s="17" t="s">
        <v>8</v>
      </c>
      <c r="H29" s="17" t="s">
        <v>8</v>
      </c>
      <c r="I29" s="17" t="s">
        <v>8</v>
      </c>
      <c r="J29" s="17" t="s">
        <v>8</v>
      </c>
      <c r="K29" s="17" t="s">
        <v>8</v>
      </c>
      <c r="L29" s="19" t="s">
        <v>8</v>
      </c>
      <c r="M29" s="19" t="s">
        <v>9</v>
      </c>
      <c r="N29" s="18" t="s">
        <v>9</v>
      </c>
      <c r="O29" s="18" t="s">
        <v>8</v>
      </c>
      <c r="P29" s="18" t="s">
        <v>9</v>
      </c>
      <c r="Q29" s="18" t="s">
        <v>8</v>
      </c>
      <c r="R29" s="18" t="s">
        <v>8</v>
      </c>
      <c r="S29" s="18" t="s">
        <v>8</v>
      </c>
      <c r="T29" s="18" t="s">
        <v>8</v>
      </c>
      <c r="U29" s="18" t="s">
        <v>9</v>
      </c>
      <c r="V29" s="18" t="s">
        <v>8</v>
      </c>
      <c r="W29" s="18" t="s">
        <v>8</v>
      </c>
      <c r="X29" s="18" t="s">
        <v>8</v>
      </c>
      <c r="Y29" s="18" t="s">
        <v>9</v>
      </c>
      <c r="Z29" s="18" t="s">
        <v>0</v>
      </c>
      <c r="AA29" s="18" t="s">
        <v>0</v>
      </c>
      <c r="AB29" s="18" t="s">
        <v>8</v>
      </c>
      <c r="AC29" s="18" t="s">
        <v>8</v>
      </c>
      <c r="AD29" s="18" t="s">
        <v>8</v>
      </c>
      <c r="AE29" s="18" t="s">
        <v>8</v>
      </c>
      <c r="AF29" s="18" t="s">
        <v>8</v>
      </c>
      <c r="AG29" s="18" t="s">
        <v>8</v>
      </c>
      <c r="AH29" s="18" t="s">
        <v>0</v>
      </c>
      <c r="AI29" s="9"/>
    </row>
    <row r="30" spans="1:35" s="8" customFormat="1" ht="22" customHeight="1" thickBot="1" x14ac:dyDescent="0.3">
      <c r="A30" s="6"/>
      <c r="B30" s="65" t="s">
        <v>18</v>
      </c>
      <c r="C30" s="66"/>
      <c r="D30" s="7" t="s">
        <v>17</v>
      </c>
      <c r="E30" s="67" t="s">
        <v>11</v>
      </c>
      <c r="F30" s="68"/>
      <c r="G30" s="13">
        <f>COUNTIF(E29:AH29,"H")</f>
        <v>21</v>
      </c>
      <c r="H30" s="67" t="s">
        <v>12</v>
      </c>
      <c r="I30" s="68"/>
      <c r="J30" s="13">
        <f>COUNTIF(E29:AH29,"T")</f>
        <v>5</v>
      </c>
      <c r="K30" s="67" t="s">
        <v>13</v>
      </c>
      <c r="L30" s="68"/>
      <c r="M30" s="13">
        <f>COUNTIF(E29:AH29,"A") + COUNTIF(E29:AH29,"I")</f>
        <v>4</v>
      </c>
      <c r="N30" s="67" t="s">
        <v>14</v>
      </c>
      <c r="O30" s="68"/>
      <c r="P30" s="13">
        <f>IF((G30+J30+M30)=0,0,(G30+J30)/(G30+J30+M30)*100)</f>
        <v>86.666666666666671</v>
      </c>
      <c r="Q30" s="67"/>
      <c r="R30" s="68"/>
      <c r="S30" s="13"/>
      <c r="T30" s="67"/>
      <c r="U30" s="68"/>
      <c r="V30" s="14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6"/>
    </row>
    <row r="31" spans="1:35" ht="22" customHeight="1" x14ac:dyDescent="0.35">
      <c r="A31" s="2"/>
      <c r="B31" s="72" t="s">
        <v>35</v>
      </c>
      <c r="C31" s="72"/>
      <c r="D31" s="72"/>
      <c r="E31" s="16" t="s">
        <v>8</v>
      </c>
      <c r="F31" s="16" t="s">
        <v>0</v>
      </c>
      <c r="G31" s="17" t="s">
        <v>8</v>
      </c>
      <c r="H31" s="17" t="s">
        <v>8</v>
      </c>
      <c r="I31" s="17" t="s">
        <v>8</v>
      </c>
      <c r="J31" s="17" t="s">
        <v>8</v>
      </c>
      <c r="K31" s="17" t="s">
        <v>8</v>
      </c>
      <c r="L31" s="19" t="s">
        <v>8</v>
      </c>
      <c r="M31" s="19" t="s">
        <v>9</v>
      </c>
      <c r="N31" s="18" t="s">
        <v>9</v>
      </c>
      <c r="O31" s="18" t="s">
        <v>8</v>
      </c>
      <c r="P31" s="18" t="s">
        <v>9</v>
      </c>
      <c r="Q31" s="18" t="s">
        <v>8</v>
      </c>
      <c r="R31" s="18" t="s">
        <v>8</v>
      </c>
      <c r="S31" s="18" t="s">
        <v>8</v>
      </c>
      <c r="T31" s="18" t="s">
        <v>8</v>
      </c>
      <c r="U31" s="18" t="s">
        <v>9</v>
      </c>
      <c r="V31" s="18" t="s">
        <v>8</v>
      </c>
      <c r="W31" s="18" t="s">
        <v>8</v>
      </c>
      <c r="X31" s="18" t="s">
        <v>8</v>
      </c>
      <c r="Y31" s="18" t="s">
        <v>9</v>
      </c>
      <c r="Z31" s="18" t="s">
        <v>0</v>
      </c>
      <c r="AA31" s="18" t="s">
        <v>0</v>
      </c>
      <c r="AB31" s="18" t="s">
        <v>8</v>
      </c>
      <c r="AC31" s="18" t="s">
        <v>8</v>
      </c>
      <c r="AD31" s="18" t="s">
        <v>8</v>
      </c>
      <c r="AE31" s="18" t="s">
        <v>8</v>
      </c>
      <c r="AF31" s="18" t="s">
        <v>8</v>
      </c>
      <c r="AG31" s="18" t="s">
        <v>8</v>
      </c>
      <c r="AH31" s="18" t="s">
        <v>0</v>
      </c>
      <c r="AI31" s="2"/>
    </row>
    <row r="32" spans="1:35" s="8" customFormat="1" ht="22" customHeight="1" thickBot="1" x14ac:dyDescent="0.3">
      <c r="A32" s="6"/>
      <c r="B32" s="65" t="s">
        <v>18</v>
      </c>
      <c r="C32" s="66"/>
      <c r="D32" s="7" t="s">
        <v>17</v>
      </c>
      <c r="E32" s="67" t="s">
        <v>11</v>
      </c>
      <c r="F32" s="68"/>
      <c r="G32" s="13">
        <f>COUNTIF(E31:AH31,"H")</f>
        <v>21</v>
      </c>
      <c r="H32" s="67" t="s">
        <v>12</v>
      </c>
      <c r="I32" s="68"/>
      <c r="J32" s="13">
        <f>COUNTIF(E31:AH31,"T")</f>
        <v>5</v>
      </c>
      <c r="K32" s="67" t="s">
        <v>13</v>
      </c>
      <c r="L32" s="68"/>
      <c r="M32" s="13">
        <f>COUNTIF(E31:AH31,"A") + COUNTIF(E31:AH31,"I")</f>
        <v>4</v>
      </c>
      <c r="N32" s="67" t="s">
        <v>14</v>
      </c>
      <c r="O32" s="68"/>
      <c r="P32" s="13">
        <f>IF((G32+J32+M32)=0,0,(G32+J32)/(G32+J32+M32)*100)</f>
        <v>86.666666666666671</v>
      </c>
      <c r="Q32" s="67"/>
      <c r="R32" s="68"/>
      <c r="S32" s="13"/>
      <c r="T32" s="67"/>
      <c r="U32" s="68"/>
      <c r="V32" s="14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6"/>
    </row>
    <row r="33" spans="1:36" ht="22" customHeight="1" x14ac:dyDescent="0.35">
      <c r="A33" s="2"/>
      <c r="B33" s="72" t="s">
        <v>36</v>
      </c>
      <c r="C33" s="72"/>
      <c r="D33" s="72"/>
      <c r="E33" s="16" t="s">
        <v>8</v>
      </c>
      <c r="F33" s="16" t="s">
        <v>0</v>
      </c>
      <c r="G33" s="17" t="s">
        <v>8</v>
      </c>
      <c r="H33" s="17" t="s">
        <v>8</v>
      </c>
      <c r="I33" s="17" t="s">
        <v>8</v>
      </c>
      <c r="J33" s="17" t="s">
        <v>8</v>
      </c>
      <c r="K33" s="17" t="s">
        <v>8</v>
      </c>
      <c r="L33" s="19" t="s">
        <v>8</v>
      </c>
      <c r="M33" s="19" t="s">
        <v>9</v>
      </c>
      <c r="N33" s="18" t="s">
        <v>9</v>
      </c>
      <c r="O33" s="18" t="s">
        <v>8</v>
      </c>
      <c r="P33" s="18" t="s">
        <v>9</v>
      </c>
      <c r="Q33" s="18" t="s">
        <v>8</v>
      </c>
      <c r="R33" s="18" t="s">
        <v>8</v>
      </c>
      <c r="S33" s="18" t="s">
        <v>8</v>
      </c>
      <c r="T33" s="18" t="s">
        <v>8</v>
      </c>
      <c r="U33" s="18" t="s">
        <v>9</v>
      </c>
      <c r="V33" s="18" t="s">
        <v>8</v>
      </c>
      <c r="W33" s="18" t="s">
        <v>8</v>
      </c>
      <c r="X33" s="18" t="s">
        <v>8</v>
      </c>
      <c r="Y33" s="18" t="s">
        <v>9</v>
      </c>
      <c r="Z33" s="18" t="s">
        <v>0</v>
      </c>
      <c r="AA33" s="18" t="s">
        <v>0</v>
      </c>
      <c r="AB33" s="18" t="s">
        <v>8</v>
      </c>
      <c r="AC33" s="18" t="s">
        <v>8</v>
      </c>
      <c r="AD33" s="18" t="s">
        <v>8</v>
      </c>
      <c r="AE33" s="18" t="s">
        <v>8</v>
      </c>
      <c r="AF33" s="18" t="s">
        <v>8</v>
      </c>
      <c r="AG33" s="18" t="s">
        <v>8</v>
      </c>
      <c r="AH33" s="18" t="s">
        <v>0</v>
      </c>
      <c r="AI33" s="2"/>
    </row>
    <row r="34" spans="1:36" s="8" customFormat="1" ht="22" customHeight="1" thickBot="1" x14ac:dyDescent="0.3">
      <c r="A34" s="6"/>
      <c r="B34" s="65" t="s">
        <v>18</v>
      </c>
      <c r="C34" s="66"/>
      <c r="D34" s="7" t="s">
        <v>17</v>
      </c>
      <c r="E34" s="67" t="s">
        <v>11</v>
      </c>
      <c r="F34" s="68"/>
      <c r="G34" s="13">
        <f>COUNTIF(E33:AH33,"H")</f>
        <v>21</v>
      </c>
      <c r="H34" s="67" t="s">
        <v>12</v>
      </c>
      <c r="I34" s="68"/>
      <c r="J34" s="13">
        <f>COUNTIF(E33:AH33,"T")</f>
        <v>5</v>
      </c>
      <c r="K34" s="67" t="s">
        <v>13</v>
      </c>
      <c r="L34" s="68"/>
      <c r="M34" s="13">
        <f>COUNTIF(E33:AH33,"A") + COUNTIF(E33:AH33,"I")</f>
        <v>4</v>
      </c>
      <c r="N34" s="67" t="s">
        <v>14</v>
      </c>
      <c r="O34" s="68"/>
      <c r="P34" s="13">
        <f>IF((G34+J34+M34)=0,0,(G34+J34)/(G34+J34+M34)*100)</f>
        <v>86.666666666666671</v>
      </c>
      <c r="Q34" s="67"/>
      <c r="R34" s="68"/>
      <c r="S34" s="13"/>
      <c r="T34" s="67"/>
      <c r="U34" s="68"/>
      <c r="V34" s="14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6"/>
    </row>
    <row r="35" spans="1:36" s="10" customFormat="1" ht="22" customHeight="1" x14ac:dyDescent="0.25">
      <c r="A35" s="9"/>
      <c r="B35" s="69" t="s">
        <v>37</v>
      </c>
      <c r="C35" s="70"/>
      <c r="D35" s="71"/>
      <c r="E35" s="16" t="s">
        <v>8</v>
      </c>
      <c r="F35" s="16" t="s">
        <v>0</v>
      </c>
      <c r="G35" s="17" t="s">
        <v>8</v>
      </c>
      <c r="H35" s="17" t="s">
        <v>8</v>
      </c>
      <c r="I35" s="17" t="s">
        <v>8</v>
      </c>
      <c r="J35" s="17" t="s">
        <v>8</v>
      </c>
      <c r="K35" s="17" t="s">
        <v>8</v>
      </c>
      <c r="L35" s="19" t="s">
        <v>8</v>
      </c>
      <c r="M35" s="19" t="s">
        <v>9</v>
      </c>
      <c r="N35" s="18" t="s">
        <v>9</v>
      </c>
      <c r="O35" s="18" t="s">
        <v>8</v>
      </c>
      <c r="P35" s="18" t="s">
        <v>9</v>
      </c>
      <c r="Q35" s="18" t="s">
        <v>8</v>
      </c>
      <c r="R35" s="18" t="s">
        <v>8</v>
      </c>
      <c r="S35" s="18" t="s">
        <v>8</v>
      </c>
      <c r="T35" s="18" t="s">
        <v>8</v>
      </c>
      <c r="U35" s="18" t="s">
        <v>9</v>
      </c>
      <c r="V35" s="18" t="s">
        <v>8</v>
      </c>
      <c r="W35" s="18" t="s">
        <v>8</v>
      </c>
      <c r="X35" s="18" t="s">
        <v>8</v>
      </c>
      <c r="Y35" s="18" t="s">
        <v>9</v>
      </c>
      <c r="Z35" s="18" t="s">
        <v>0</v>
      </c>
      <c r="AA35" s="18" t="s">
        <v>0</v>
      </c>
      <c r="AB35" s="18" t="s">
        <v>8</v>
      </c>
      <c r="AC35" s="18" t="s">
        <v>8</v>
      </c>
      <c r="AD35" s="18" t="s">
        <v>8</v>
      </c>
      <c r="AE35" s="18" t="s">
        <v>8</v>
      </c>
      <c r="AF35" s="18" t="s">
        <v>8</v>
      </c>
      <c r="AG35" s="18" t="s">
        <v>8</v>
      </c>
      <c r="AH35" s="18" t="s">
        <v>0</v>
      </c>
      <c r="AI35" s="9"/>
    </row>
    <row r="36" spans="1:36" s="8" customFormat="1" ht="22" customHeight="1" thickBot="1" x14ac:dyDescent="0.3">
      <c r="A36" s="6"/>
      <c r="B36" s="65" t="s">
        <v>18</v>
      </c>
      <c r="C36" s="66"/>
      <c r="D36" s="7" t="s">
        <v>17</v>
      </c>
      <c r="E36" s="67" t="s">
        <v>11</v>
      </c>
      <c r="F36" s="68"/>
      <c r="G36" s="13">
        <f>COUNTIF(E35:AH35,"H")</f>
        <v>21</v>
      </c>
      <c r="H36" s="67" t="s">
        <v>12</v>
      </c>
      <c r="I36" s="68"/>
      <c r="J36" s="13">
        <f>COUNTIF(E35:AH35,"T")</f>
        <v>5</v>
      </c>
      <c r="K36" s="67" t="s">
        <v>13</v>
      </c>
      <c r="L36" s="68"/>
      <c r="M36" s="13">
        <f>COUNTIF(E35:AH35,"A") + COUNTIF(E35:AH35,"I")</f>
        <v>4</v>
      </c>
      <c r="N36" s="67" t="s">
        <v>14</v>
      </c>
      <c r="O36" s="68"/>
      <c r="P36" s="13">
        <f>IF((G36+J36+M36)=0,0,(G36+J36)/(G36+J36+M36)*100)</f>
        <v>86.666666666666671</v>
      </c>
      <c r="Q36" s="67"/>
      <c r="R36" s="68"/>
      <c r="S36" s="13"/>
      <c r="T36" s="67"/>
      <c r="U36" s="68"/>
      <c r="V36" s="14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6"/>
    </row>
    <row r="37" spans="1:36" s="10" customFormat="1" ht="22" customHeight="1" x14ac:dyDescent="0.25">
      <c r="A37" s="9"/>
      <c r="B37" s="69" t="s">
        <v>38</v>
      </c>
      <c r="C37" s="70"/>
      <c r="D37" s="71"/>
      <c r="E37" s="16" t="s">
        <v>8</v>
      </c>
      <c r="F37" s="16" t="s">
        <v>0</v>
      </c>
      <c r="G37" s="17" t="s">
        <v>8</v>
      </c>
      <c r="H37" s="17" t="s">
        <v>8</v>
      </c>
      <c r="I37" s="17" t="s">
        <v>8</v>
      </c>
      <c r="J37" s="17" t="s">
        <v>8</v>
      </c>
      <c r="K37" s="17" t="s">
        <v>8</v>
      </c>
      <c r="L37" s="19" t="s">
        <v>8</v>
      </c>
      <c r="M37" s="19" t="s">
        <v>9</v>
      </c>
      <c r="N37" s="18" t="s">
        <v>9</v>
      </c>
      <c r="O37" s="18" t="s">
        <v>8</v>
      </c>
      <c r="P37" s="18" t="s">
        <v>9</v>
      </c>
      <c r="Q37" s="18" t="s">
        <v>8</v>
      </c>
      <c r="R37" s="18" t="s">
        <v>8</v>
      </c>
      <c r="S37" s="18" t="s">
        <v>8</v>
      </c>
      <c r="T37" s="18" t="s">
        <v>8</v>
      </c>
      <c r="U37" s="18" t="s">
        <v>9</v>
      </c>
      <c r="V37" s="18" t="s">
        <v>8</v>
      </c>
      <c r="W37" s="18" t="s">
        <v>8</v>
      </c>
      <c r="X37" s="18" t="s">
        <v>8</v>
      </c>
      <c r="Y37" s="18" t="s">
        <v>9</v>
      </c>
      <c r="Z37" s="18" t="s">
        <v>0</v>
      </c>
      <c r="AA37" s="18" t="s">
        <v>0</v>
      </c>
      <c r="AB37" s="18" t="s">
        <v>8</v>
      </c>
      <c r="AC37" s="18" t="s">
        <v>8</v>
      </c>
      <c r="AD37" s="18" t="s">
        <v>8</v>
      </c>
      <c r="AE37" s="18" t="s">
        <v>8</v>
      </c>
      <c r="AF37" s="18" t="s">
        <v>8</v>
      </c>
      <c r="AG37" s="18" t="s">
        <v>8</v>
      </c>
      <c r="AH37" s="18" t="s">
        <v>0</v>
      </c>
      <c r="AI37" s="9"/>
    </row>
    <row r="38" spans="1:36" s="8" customFormat="1" ht="22" customHeight="1" thickBot="1" x14ac:dyDescent="0.3">
      <c r="A38" s="6"/>
      <c r="B38" s="65" t="s">
        <v>18</v>
      </c>
      <c r="C38" s="66"/>
      <c r="D38" s="7" t="s">
        <v>17</v>
      </c>
      <c r="E38" s="67" t="s">
        <v>11</v>
      </c>
      <c r="F38" s="68"/>
      <c r="G38" s="13">
        <f>COUNTIF(E37:AH37,"H")</f>
        <v>21</v>
      </c>
      <c r="H38" s="67" t="s">
        <v>12</v>
      </c>
      <c r="I38" s="68"/>
      <c r="J38" s="13">
        <f>COUNTIF(E37:AH37,"T")</f>
        <v>5</v>
      </c>
      <c r="K38" s="67" t="s">
        <v>13</v>
      </c>
      <c r="L38" s="68"/>
      <c r="M38" s="13">
        <f>COUNTIF(E37:AH37,"A") + COUNTIF(E37:AH37,"I")</f>
        <v>4</v>
      </c>
      <c r="N38" s="67" t="s">
        <v>14</v>
      </c>
      <c r="O38" s="68"/>
      <c r="P38" s="13">
        <f>IF((G38+J38+M38)=0,0,(G38+J38)/(G38+J38+M38)*100)</f>
        <v>86.666666666666671</v>
      </c>
      <c r="Q38" s="67"/>
      <c r="R38" s="68"/>
      <c r="S38" s="13"/>
      <c r="T38" s="67"/>
      <c r="U38" s="68"/>
      <c r="V38" s="14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6"/>
    </row>
    <row r="39" spans="1:36" s="10" customFormat="1" ht="22" customHeight="1" x14ac:dyDescent="0.25">
      <c r="A39" s="9"/>
      <c r="B39" s="69" t="s">
        <v>39</v>
      </c>
      <c r="C39" s="70"/>
      <c r="D39" s="71"/>
      <c r="E39" s="16" t="s">
        <v>8</v>
      </c>
      <c r="F39" s="16" t="s">
        <v>0</v>
      </c>
      <c r="G39" s="17" t="s">
        <v>8</v>
      </c>
      <c r="H39" s="17" t="s">
        <v>8</v>
      </c>
      <c r="I39" s="17" t="s">
        <v>8</v>
      </c>
      <c r="J39" s="17" t="s">
        <v>8</v>
      </c>
      <c r="K39" s="17" t="s">
        <v>8</v>
      </c>
      <c r="L39" s="19" t="s">
        <v>8</v>
      </c>
      <c r="M39" s="19" t="s">
        <v>9</v>
      </c>
      <c r="N39" s="18" t="s">
        <v>9</v>
      </c>
      <c r="O39" s="18" t="s">
        <v>8</v>
      </c>
      <c r="P39" s="18" t="s">
        <v>9</v>
      </c>
      <c r="Q39" s="18" t="s">
        <v>8</v>
      </c>
      <c r="R39" s="18" t="s">
        <v>8</v>
      </c>
      <c r="S39" s="18" t="s">
        <v>8</v>
      </c>
      <c r="T39" s="18" t="s">
        <v>8</v>
      </c>
      <c r="U39" s="18" t="s">
        <v>9</v>
      </c>
      <c r="V39" s="18" t="s">
        <v>8</v>
      </c>
      <c r="W39" s="18" t="s">
        <v>8</v>
      </c>
      <c r="X39" s="18" t="s">
        <v>8</v>
      </c>
      <c r="Y39" s="18" t="s">
        <v>9</v>
      </c>
      <c r="Z39" s="18" t="s">
        <v>0</v>
      </c>
      <c r="AA39" s="18" t="s">
        <v>0</v>
      </c>
      <c r="AB39" s="18" t="s">
        <v>8</v>
      </c>
      <c r="AC39" s="18" t="s">
        <v>8</v>
      </c>
      <c r="AD39" s="18" t="s">
        <v>8</v>
      </c>
      <c r="AE39" s="18" t="s">
        <v>8</v>
      </c>
      <c r="AF39" s="18" t="s">
        <v>8</v>
      </c>
      <c r="AG39" s="18" t="s">
        <v>8</v>
      </c>
      <c r="AH39" s="18" t="s">
        <v>0</v>
      </c>
      <c r="AI39" s="9"/>
    </row>
    <row r="40" spans="1:36" s="8" customFormat="1" ht="22" customHeight="1" thickBot="1" x14ac:dyDescent="0.3">
      <c r="A40" s="6"/>
      <c r="B40" s="65" t="s">
        <v>18</v>
      </c>
      <c r="C40" s="66"/>
      <c r="D40" s="7" t="s">
        <v>17</v>
      </c>
      <c r="E40" s="67" t="s">
        <v>11</v>
      </c>
      <c r="F40" s="68"/>
      <c r="G40" s="13">
        <f>COUNTIF(E39:AH39,"H")</f>
        <v>21</v>
      </c>
      <c r="H40" s="67" t="s">
        <v>12</v>
      </c>
      <c r="I40" s="68"/>
      <c r="J40" s="13">
        <f>COUNTIF(E39:AH39,"T")</f>
        <v>5</v>
      </c>
      <c r="K40" s="67" t="s">
        <v>13</v>
      </c>
      <c r="L40" s="68"/>
      <c r="M40" s="13">
        <f>COUNTIF(E39:AH39,"A") + COUNTIF(E39:AH39,"I")</f>
        <v>4</v>
      </c>
      <c r="N40" s="67" t="s">
        <v>14</v>
      </c>
      <c r="O40" s="68"/>
      <c r="P40" s="13">
        <f>IF((G40+J40+M40)=0,0,(G40+J40)/(G40+J40+M40)*100)</f>
        <v>86.666666666666671</v>
      </c>
      <c r="Q40" s="67"/>
      <c r="R40" s="68"/>
      <c r="S40" s="13"/>
      <c r="T40" s="67"/>
      <c r="U40" s="68"/>
      <c r="V40" s="14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6"/>
    </row>
    <row r="41" spans="1:36" s="10" customFormat="1" ht="22" customHeight="1" x14ac:dyDescent="0.25">
      <c r="A41" s="9"/>
      <c r="B41" s="69" t="s">
        <v>40</v>
      </c>
      <c r="C41" s="70"/>
      <c r="D41" s="71"/>
      <c r="E41" s="16" t="s">
        <v>8</v>
      </c>
      <c r="F41" s="16" t="s">
        <v>0</v>
      </c>
      <c r="G41" s="17" t="s">
        <v>8</v>
      </c>
      <c r="H41" s="17" t="s">
        <v>8</v>
      </c>
      <c r="I41" s="17" t="s">
        <v>8</v>
      </c>
      <c r="J41" s="17" t="s">
        <v>8</v>
      </c>
      <c r="K41" s="17" t="s">
        <v>8</v>
      </c>
      <c r="L41" s="19" t="s">
        <v>8</v>
      </c>
      <c r="M41" s="19" t="s">
        <v>9</v>
      </c>
      <c r="N41" s="18" t="s">
        <v>9</v>
      </c>
      <c r="O41" s="18" t="s">
        <v>8</v>
      </c>
      <c r="P41" s="18" t="s">
        <v>9</v>
      </c>
      <c r="Q41" s="18" t="s">
        <v>8</v>
      </c>
      <c r="R41" s="18" t="s">
        <v>8</v>
      </c>
      <c r="S41" s="18" t="s">
        <v>8</v>
      </c>
      <c r="T41" s="18" t="s">
        <v>8</v>
      </c>
      <c r="U41" s="18" t="s">
        <v>9</v>
      </c>
      <c r="V41" s="18" t="s">
        <v>8</v>
      </c>
      <c r="W41" s="18" t="s">
        <v>8</v>
      </c>
      <c r="X41" s="18" t="s">
        <v>8</v>
      </c>
      <c r="Y41" s="18" t="s">
        <v>9</v>
      </c>
      <c r="Z41" s="18" t="s">
        <v>0</v>
      </c>
      <c r="AA41" s="18" t="s">
        <v>0</v>
      </c>
      <c r="AB41" s="18" t="s">
        <v>8</v>
      </c>
      <c r="AC41" s="18" t="s">
        <v>8</v>
      </c>
      <c r="AD41" s="18" t="s">
        <v>8</v>
      </c>
      <c r="AE41" s="18" t="s">
        <v>8</v>
      </c>
      <c r="AF41" s="18" t="s">
        <v>8</v>
      </c>
      <c r="AG41" s="18" t="s">
        <v>8</v>
      </c>
      <c r="AH41" s="18" t="s">
        <v>0</v>
      </c>
      <c r="AI41" s="9"/>
    </row>
    <row r="42" spans="1:36" s="8" customFormat="1" ht="22" customHeight="1" thickBot="1" x14ac:dyDescent="0.3">
      <c r="A42" s="6"/>
      <c r="B42" s="65" t="s">
        <v>18</v>
      </c>
      <c r="C42" s="66"/>
      <c r="D42" s="7" t="s">
        <v>17</v>
      </c>
      <c r="E42" s="67" t="s">
        <v>11</v>
      </c>
      <c r="F42" s="68"/>
      <c r="G42" s="13">
        <f>COUNTIF(E41:AH41,"H")</f>
        <v>21</v>
      </c>
      <c r="H42" s="67" t="s">
        <v>12</v>
      </c>
      <c r="I42" s="68"/>
      <c r="J42" s="13">
        <f>COUNTIF(E41:AH41,"T")</f>
        <v>5</v>
      </c>
      <c r="K42" s="67" t="s">
        <v>13</v>
      </c>
      <c r="L42" s="68"/>
      <c r="M42" s="13">
        <f>COUNTIF(E41:AH41,"A") + COUNTIF(E41:AH41,"I")</f>
        <v>4</v>
      </c>
      <c r="N42" s="67" t="s">
        <v>14</v>
      </c>
      <c r="O42" s="68"/>
      <c r="P42" s="13">
        <f>IF((G42+J42+M42)=0,0,(G42+J42)/(G42+J42+M42)*100)</f>
        <v>86.666666666666671</v>
      </c>
      <c r="Q42" s="67"/>
      <c r="R42" s="68"/>
      <c r="S42" s="13"/>
      <c r="T42" s="67"/>
      <c r="U42" s="68"/>
      <c r="V42" s="14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6"/>
    </row>
    <row r="43" spans="1:36" s="10" customFormat="1" ht="22" customHeight="1" x14ac:dyDescent="0.25">
      <c r="A43" s="9"/>
      <c r="B43" s="62" t="s">
        <v>41</v>
      </c>
      <c r="C43" s="63"/>
      <c r="D43" s="64"/>
      <c r="E43" s="16" t="s">
        <v>8</v>
      </c>
      <c r="F43" s="16" t="s">
        <v>0</v>
      </c>
      <c r="G43" s="17" t="s">
        <v>8</v>
      </c>
      <c r="H43" s="17" t="s">
        <v>8</v>
      </c>
      <c r="I43" s="17" t="s">
        <v>8</v>
      </c>
      <c r="J43" s="17" t="s">
        <v>8</v>
      </c>
      <c r="K43" s="17" t="s">
        <v>8</v>
      </c>
      <c r="L43" s="19" t="s">
        <v>8</v>
      </c>
      <c r="M43" s="19" t="s">
        <v>9</v>
      </c>
      <c r="N43" s="18" t="s">
        <v>9</v>
      </c>
      <c r="O43" s="18" t="s">
        <v>8</v>
      </c>
      <c r="P43" s="18" t="s">
        <v>9</v>
      </c>
      <c r="Q43" s="18" t="s">
        <v>8</v>
      </c>
      <c r="R43" s="18" t="s">
        <v>8</v>
      </c>
      <c r="S43" s="18" t="s">
        <v>8</v>
      </c>
      <c r="T43" s="18" t="s">
        <v>8</v>
      </c>
      <c r="U43" s="18" t="s">
        <v>9</v>
      </c>
      <c r="V43" s="18" t="s">
        <v>8</v>
      </c>
      <c r="W43" s="18" t="s">
        <v>8</v>
      </c>
      <c r="X43" s="18" t="s">
        <v>8</v>
      </c>
      <c r="Y43" s="18" t="s">
        <v>9</v>
      </c>
      <c r="Z43" s="18" t="s">
        <v>0</v>
      </c>
      <c r="AA43" s="18" t="s">
        <v>0</v>
      </c>
      <c r="AB43" s="18" t="s">
        <v>8</v>
      </c>
      <c r="AC43" s="18" t="s">
        <v>8</v>
      </c>
      <c r="AD43" s="18" t="s">
        <v>8</v>
      </c>
      <c r="AE43" s="18" t="s">
        <v>8</v>
      </c>
      <c r="AF43" s="18" t="s">
        <v>8</v>
      </c>
      <c r="AG43" s="18" t="s">
        <v>8</v>
      </c>
      <c r="AH43" s="18" t="s">
        <v>0</v>
      </c>
      <c r="AI43" s="9"/>
    </row>
    <row r="44" spans="1:36" s="8" customFormat="1" ht="22" customHeight="1" thickBot="1" x14ac:dyDescent="0.3">
      <c r="A44" s="6"/>
      <c r="B44" s="65" t="s">
        <v>18</v>
      </c>
      <c r="C44" s="66"/>
      <c r="D44" s="7" t="s">
        <v>17</v>
      </c>
      <c r="E44" s="67" t="s">
        <v>11</v>
      </c>
      <c r="F44" s="68"/>
      <c r="G44" s="13">
        <f>COUNTIF(E43:AH43,"H")</f>
        <v>21</v>
      </c>
      <c r="H44" s="67" t="s">
        <v>12</v>
      </c>
      <c r="I44" s="68"/>
      <c r="J44" s="13">
        <f>COUNTIF(E43:AH43,"T")</f>
        <v>5</v>
      </c>
      <c r="K44" s="67" t="s">
        <v>13</v>
      </c>
      <c r="L44" s="68"/>
      <c r="M44" s="13">
        <f>COUNTIF(E43:AH43,"A") + COUNTIF(E43:AH43,"I")</f>
        <v>4</v>
      </c>
      <c r="N44" s="67" t="s">
        <v>14</v>
      </c>
      <c r="O44" s="68"/>
      <c r="P44" s="13">
        <f>IF((G44+J44+M44)=0,0,(G44+J44)/(G44+J44+M44)*100)</f>
        <v>86.666666666666671</v>
      </c>
      <c r="Q44" s="67"/>
      <c r="R44" s="68"/>
      <c r="S44" s="13"/>
      <c r="T44" s="67"/>
      <c r="U44" s="68"/>
      <c r="V44" s="14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6"/>
    </row>
    <row r="45" spans="1:36" ht="22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ht="28.5" customHeight="1" x14ac:dyDescent="0.35">
      <c r="A46" s="2"/>
      <c r="B46" s="48" t="s">
        <v>19</v>
      </c>
      <c r="C46" s="48"/>
      <c r="D46" s="48"/>
      <c r="E46" s="48"/>
      <c r="F46" s="48"/>
      <c r="G46" s="48"/>
      <c r="H46" s="48"/>
      <c r="I46" s="48"/>
      <c r="J46" s="48"/>
      <c r="L46" s="49" t="s">
        <v>62</v>
      </c>
      <c r="M46" s="50"/>
      <c r="N46" s="50"/>
      <c r="O46" s="50"/>
      <c r="P46" s="50"/>
      <c r="Q46" s="50"/>
      <c r="R46" s="50"/>
      <c r="S46" s="50"/>
      <c r="T46" s="50"/>
      <c r="U46" s="50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6" ht="22" customHeight="1" x14ac:dyDescent="0.35">
      <c r="A47" s="2"/>
      <c r="B47" s="51"/>
      <c r="C47" s="51"/>
      <c r="D47" s="51"/>
      <c r="E47" s="51"/>
      <c r="F47" s="51"/>
      <c r="G47" s="51"/>
      <c r="H47" s="51"/>
      <c r="I47" s="51"/>
      <c r="J47" s="51"/>
      <c r="L47" s="52" t="s">
        <v>21</v>
      </c>
      <c r="M47" s="52"/>
      <c r="N47" s="52"/>
      <c r="O47" s="52"/>
      <c r="P47" s="52"/>
      <c r="Q47" s="52"/>
      <c r="R47" s="52"/>
      <c r="S47" s="52"/>
      <c r="T47" s="53">
        <v>30</v>
      </c>
      <c r="U47" s="54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6" ht="22" customHeight="1" x14ac:dyDescent="0.35">
      <c r="A48" s="2"/>
      <c r="B48" s="51"/>
      <c r="C48" s="51"/>
      <c r="D48" s="51"/>
      <c r="E48" s="51"/>
      <c r="F48" s="51"/>
      <c r="G48" s="51"/>
      <c r="H48" s="51"/>
      <c r="I48" s="51"/>
      <c r="J48" s="51"/>
      <c r="L48" s="52" t="s">
        <v>42</v>
      </c>
      <c r="M48" s="52"/>
      <c r="N48" s="52"/>
      <c r="O48" s="52"/>
      <c r="P48" s="52"/>
      <c r="Q48" s="52"/>
      <c r="R48" s="52"/>
      <c r="S48" s="52"/>
      <c r="T48" s="53">
        <v>20</v>
      </c>
      <c r="U48" s="54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1:36" ht="22" customHeight="1" x14ac:dyDescent="0.35">
      <c r="A49" s="2"/>
      <c r="B49" s="51"/>
      <c r="C49" s="51"/>
      <c r="D49" s="51"/>
      <c r="E49" s="51"/>
      <c r="F49" s="51"/>
      <c r="G49" s="51"/>
      <c r="H49" s="51"/>
      <c r="I49" s="51"/>
      <c r="J49" s="51"/>
      <c r="L49" s="55" t="s">
        <v>43</v>
      </c>
      <c r="M49" s="55"/>
      <c r="N49" s="55"/>
      <c r="O49" s="55"/>
      <c r="P49" s="55"/>
      <c r="Q49" s="55"/>
      <c r="R49" s="55"/>
      <c r="S49" s="55"/>
      <c r="T49" s="58">
        <f>T47*T48</f>
        <v>600</v>
      </c>
      <c r="U49" s="59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1:36" ht="22" customHeight="1" x14ac:dyDescent="0.35">
      <c r="A50" s="2"/>
      <c r="B50" s="51"/>
      <c r="C50" s="51"/>
      <c r="D50" s="51"/>
      <c r="E50" s="51"/>
      <c r="F50" s="51"/>
      <c r="G50" s="51"/>
      <c r="H50" s="51"/>
      <c r="I50" s="51"/>
      <c r="J50" s="51"/>
      <c r="L50" s="52" t="s">
        <v>44</v>
      </c>
      <c r="M50" s="52"/>
      <c r="N50" s="52"/>
      <c r="O50" s="52"/>
      <c r="P50" s="52"/>
      <c r="Q50" s="52"/>
      <c r="R50" s="52"/>
      <c r="S50" s="52"/>
      <c r="T50" s="60">
        <f>COUNTIF(E5:AH43,"H")</f>
        <v>424</v>
      </c>
      <c r="U50" s="61"/>
      <c r="AD50" s="2"/>
      <c r="AE50" s="2"/>
      <c r="AF50" s="2"/>
      <c r="AG50" s="2"/>
      <c r="AH50" s="2"/>
      <c r="AI50" s="2"/>
    </row>
    <row r="51" spans="1:36" ht="22" customHeight="1" x14ac:dyDescent="0.35">
      <c r="A51" s="2"/>
      <c r="B51" s="51"/>
      <c r="C51" s="51"/>
      <c r="D51" s="51"/>
      <c r="E51" s="51"/>
      <c r="F51" s="51"/>
      <c r="G51" s="51"/>
      <c r="H51" s="51"/>
      <c r="I51" s="51"/>
      <c r="J51" s="51"/>
      <c r="L51" s="52" t="s">
        <v>87</v>
      </c>
      <c r="M51" s="52"/>
      <c r="N51" s="52"/>
      <c r="O51" s="52"/>
      <c r="P51" s="52"/>
      <c r="Q51" s="52"/>
      <c r="R51" s="52"/>
      <c r="S51" s="52"/>
      <c r="T51" s="60">
        <f>COUNTIF(E5:AH43,"T")</f>
        <v>96</v>
      </c>
      <c r="U51" s="61"/>
      <c r="AD51" s="2"/>
      <c r="AE51" s="2"/>
      <c r="AF51" s="2"/>
      <c r="AG51" s="2"/>
      <c r="AH51" s="2"/>
      <c r="AI51" s="2"/>
    </row>
    <row r="52" spans="1:36" ht="22" customHeight="1" x14ac:dyDescent="0.35">
      <c r="A52" s="2"/>
      <c r="B52" s="51"/>
      <c r="C52" s="51"/>
      <c r="D52" s="51"/>
      <c r="E52" s="51"/>
      <c r="F52" s="51"/>
      <c r="G52" s="51"/>
      <c r="H52" s="51"/>
      <c r="I52" s="51"/>
      <c r="J52" s="51"/>
      <c r="L52" s="52" t="s">
        <v>88</v>
      </c>
      <c r="M52" s="52"/>
      <c r="N52" s="52"/>
      <c r="O52" s="52"/>
      <c r="P52" s="52"/>
      <c r="Q52" s="52"/>
      <c r="R52" s="52"/>
      <c r="S52" s="52"/>
      <c r="T52" s="60">
        <f>COUNTIF(E5:AH43,"A")+COUNTIF(E5:AH43,"I")</f>
        <v>80</v>
      </c>
      <c r="U52" s="61"/>
      <c r="AD52" s="2"/>
      <c r="AE52" s="2"/>
      <c r="AF52" s="2"/>
      <c r="AG52" s="2"/>
      <c r="AH52" s="2"/>
      <c r="AI52" s="2"/>
    </row>
    <row r="53" spans="1:36" ht="22" customHeight="1" x14ac:dyDescent="0.35">
      <c r="A53" s="2"/>
      <c r="B53" s="51"/>
      <c r="C53" s="51"/>
      <c r="D53" s="51"/>
      <c r="E53" s="51"/>
      <c r="F53" s="51"/>
      <c r="G53" s="51"/>
      <c r="H53" s="51"/>
      <c r="I53" s="51"/>
      <c r="J53" s="51"/>
      <c r="L53" s="52" t="s">
        <v>47</v>
      </c>
      <c r="M53" s="52"/>
      <c r="N53" s="52"/>
      <c r="O53" s="52"/>
      <c r="P53" s="52"/>
      <c r="Q53" s="52"/>
      <c r="R53" s="52"/>
      <c r="S53" s="52"/>
      <c r="T53" s="56">
        <f>IF((T50+T51+T52)=0,0,(T50+T51)/( T50+T51+T52))</f>
        <v>0.8666666666666667</v>
      </c>
      <c r="U53" s="57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1:36" ht="16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ht="16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ht="16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ht="16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ht="16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ht="16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ht="16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spans="1:36" ht="16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ht="16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6" ht="16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ht="16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ht="16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ht="16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spans="1:36" ht="16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6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spans="1:36" ht="16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spans="1:36" ht="16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spans="1:36" ht="16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spans="1:36" ht="16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spans="1:36" ht="16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6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6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6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spans="1:36" ht="16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spans="1:36" ht="16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spans="1:36" ht="16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6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6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spans="1:36" ht="16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spans="1:36" ht="16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spans="1:36" ht="16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spans="1:36" ht="16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spans="1:36" ht="16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spans="1:36" ht="16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spans="1:36" ht="16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6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spans="1:36" ht="16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spans="1:36" ht="16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spans="1:36" ht="16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spans="1:36" ht="16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spans="1:36" ht="16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spans="1:36" ht="16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spans="1:36" ht="16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spans="1:36" ht="16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spans="1:36" ht="16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spans="1:36" ht="16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spans="1:36" ht="16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spans="1:36" ht="16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spans="1:36" ht="16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spans="1:36" ht="16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spans="1:36" ht="16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spans="1:36" ht="16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spans="1:36" ht="16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spans="1:36" ht="16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spans="1:36" ht="16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spans="1:36" ht="16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spans="1:36" ht="16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spans="1:36" ht="16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spans="1:36" ht="16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spans="1:36" ht="16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spans="1:36" ht="16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spans="1:36" ht="16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spans="1:36" ht="16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spans="1:36" ht="16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spans="1:36" ht="16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spans="1:36" ht="16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spans="1:36" ht="16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6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6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6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6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6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6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6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6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6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6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6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6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6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6" ht="16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6" ht="16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6" ht="16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6" ht="16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6" ht="16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6" ht="16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spans="1:36" ht="16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spans="1:36" ht="16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spans="1:36" ht="16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spans="1:36" ht="16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spans="1:36" ht="16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spans="1:36" ht="16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spans="1:36" ht="16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spans="1:36" ht="16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spans="1:36" ht="16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spans="1:36" ht="16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spans="1:36" ht="16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spans="1:36" ht="16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spans="1:36" ht="16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spans="1:36" ht="16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spans="1:36" ht="16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spans="1:36" ht="16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spans="1:36" ht="16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spans="1:36" ht="16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spans="1:36" ht="16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spans="1:36" ht="16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spans="1:36" ht="16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spans="1:36" ht="16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spans="1:36" ht="16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spans="1:36" ht="16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spans="1:36" ht="16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spans="1:36" ht="16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spans="1:36" ht="16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spans="1:36" ht="16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spans="1:36" ht="16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spans="1:36" ht="16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spans="1:36" ht="16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spans="1:36" ht="16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spans="1:36" ht="16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spans="1:36" ht="16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spans="1:36" ht="16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spans="1:36" ht="16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spans="1:36" ht="16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spans="1:36" ht="16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spans="1:36" ht="16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spans="1:36" ht="16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spans="1:36" ht="16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spans="1:36" ht="16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spans="1:36" ht="16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spans="1:36" ht="16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spans="1:36" ht="16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spans="1:36" ht="16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spans="1:36" ht="16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spans="1:36" ht="16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spans="1:36" ht="16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spans="1:36" ht="16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spans="1:36" ht="16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spans="1:36" ht="16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spans="1:36" ht="16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spans="1:36" ht="16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spans="1:36" ht="16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spans="1:36" ht="16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spans="1:36" ht="16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spans="1:36" ht="16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spans="1:36" ht="16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spans="1:36" ht="16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spans="1:36" ht="16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spans="1:36" ht="16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spans="1:36" ht="16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spans="1:36" ht="16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spans="1:36" ht="16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spans="1:36" ht="16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spans="1:36" ht="16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spans="1:36" ht="16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spans="1:36" ht="16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spans="1:36" ht="16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spans="1:36" ht="16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spans="1:36" ht="16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spans="1:36" ht="16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spans="1:36" ht="16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spans="1:36" ht="16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spans="1:36" ht="16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spans="1:36" ht="16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spans="1:36" ht="16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spans="1:36" ht="16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spans="1:36" ht="16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spans="1:36" ht="16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spans="1:36" ht="16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spans="1:36" ht="16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spans="1:36" ht="16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spans="1:36" ht="16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spans="1:36" ht="16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spans="1:36" ht="16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spans="1:36" ht="16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spans="1:36" ht="16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spans="1:36" ht="16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spans="1:36" ht="16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spans="1:36" ht="16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spans="1:36" ht="16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spans="1:36" ht="16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spans="1:36" ht="16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spans="1:36" ht="16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spans="1:36" ht="16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spans="1:36" ht="16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spans="1:36" ht="16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spans="1:36" ht="16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spans="1:36" ht="16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spans="1:36" ht="16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spans="1:36" ht="16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spans="1:36" ht="16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spans="1:36" ht="16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spans="1:36" ht="16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spans="1:36" ht="16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spans="1:36" ht="16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spans="1:36" ht="16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spans="1:36" ht="16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spans="1:36" ht="16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spans="1:36" ht="16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spans="1:36" ht="16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spans="1:36" ht="16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spans="1:36" ht="16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spans="1:36" ht="16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spans="1:36" ht="16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spans="1:36" ht="16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spans="1:36" ht="16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spans="1:36" ht="16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spans="1:36" ht="16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spans="1:36" ht="16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spans="1:36" ht="16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spans="1:36" ht="16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spans="1:36" ht="16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spans="1:36" ht="16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spans="1:36" ht="16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spans="1:36" ht="16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spans="1:36" ht="16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spans="1:36" ht="16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spans="1:36" ht="16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spans="1:36" ht="16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spans="1:36" ht="16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spans="1:36" ht="16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spans="1:36" ht="16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spans="1:36" ht="16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spans="1:36" ht="16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spans="1:36" ht="16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spans="1:36" ht="16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spans="1:36" ht="16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spans="1:36" ht="16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spans="1:36" ht="16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spans="1:36" ht="16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spans="1:36" ht="16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spans="1:36" ht="16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spans="1:36" ht="16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spans="1:36" ht="16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spans="1:36" ht="16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spans="1:36" ht="16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spans="1:36" ht="16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spans="1:36" ht="16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spans="1:36" ht="16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spans="1:36" ht="16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spans="1:36" ht="16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spans="1:36" ht="16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spans="1:36" ht="16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spans="1:36" ht="16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spans="1:36" ht="16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spans="1:36" ht="16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spans="1:36" ht="16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spans="1:36" ht="16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spans="1:36" ht="16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spans="1:36" ht="16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spans="1:36" ht="16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spans="1:36" ht="16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spans="1:36" ht="16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spans="1:36" ht="16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spans="1:36" ht="16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spans="1:36" ht="16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spans="1:36" ht="16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spans="1:36" ht="16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spans="1:36" ht="16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spans="1:36" ht="16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spans="1:36" ht="16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spans="1:36" ht="16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spans="1:36" ht="16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spans="1:36" ht="16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spans="1:36" ht="16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spans="1:36" ht="16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spans="1:36" ht="16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spans="1:36" ht="16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spans="1:36" ht="16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spans="1:36" ht="16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spans="1:36" ht="16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spans="1:36" ht="16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spans="1:36" ht="16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spans="1:36" ht="16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spans="1:36" ht="16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spans="1:36" ht="16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spans="1:36" ht="16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spans="1:36" ht="16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spans="1:36" ht="16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spans="1:36" ht="16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spans="1:36" ht="16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spans="1:36" ht="16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spans="1:36" ht="16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spans="1:36" ht="16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spans="1:36" ht="16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spans="1:36" ht="16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spans="1:36" ht="16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spans="1:36" ht="16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spans="1:36" ht="16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spans="1:36" ht="16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spans="1:36" ht="16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spans="1:36" ht="16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spans="1:36" ht="16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spans="1:36" ht="16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spans="1:36" ht="16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spans="1:36" ht="16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spans="1:36" ht="16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spans="1:36" ht="16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spans="1:36" ht="16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spans="1:36" ht="16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spans="1:36" ht="16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spans="1:36" ht="16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spans="1:36" ht="16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spans="1:36" ht="16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spans="1:36" ht="16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spans="1:36" ht="16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spans="1:36" ht="16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spans="1:36" ht="16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spans="1:36" ht="16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spans="1:36" ht="16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spans="1:36" ht="16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spans="1:36" ht="16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spans="1:36" ht="16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spans="1:36" ht="16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spans="1:36" ht="16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spans="1:36" ht="16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spans="1:36" ht="16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spans="1:36" ht="16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spans="1:36" ht="16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spans="1:36" ht="16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spans="1:36" ht="16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spans="1:36" ht="16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spans="1:36" ht="16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spans="1:36" ht="16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spans="1:36" ht="16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spans="1:36" ht="16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spans="1:36" ht="16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spans="1:36" ht="16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spans="1:36" ht="16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spans="1:36" ht="16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spans="1:36" ht="16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spans="1:36" ht="16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spans="1:36" ht="16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spans="1:36" ht="16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spans="1:36" ht="16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spans="1:36" ht="16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spans="1:36" ht="16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spans="1:36" ht="16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spans="1:36" ht="16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spans="1:36" ht="16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spans="1:36" ht="16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spans="1:36" ht="16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spans="1:36" ht="16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spans="1:36" ht="16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spans="1:36" ht="16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spans="1:36" ht="16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spans="1:36" ht="16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spans="1:36" ht="16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spans="1:36" ht="16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spans="1:36" ht="16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spans="1:36" ht="16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spans="1:36" ht="16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spans="1:36" ht="16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spans="1:36" ht="16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spans="1:36" ht="16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spans="1:36" ht="16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spans="1:36" ht="16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spans="1:36" ht="16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spans="1:36" ht="16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spans="1:36" ht="16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spans="1:36" ht="16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spans="1:36" ht="16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spans="1:36" ht="16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spans="1:36" ht="16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spans="1:36" ht="16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spans="1:36" ht="16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spans="1:36" ht="16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spans="1:36" ht="16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spans="1:36" ht="16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spans="1:36" ht="16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spans="1:36" ht="16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spans="1:36" ht="16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spans="1:36" ht="16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spans="1:36" ht="16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spans="1:36" ht="16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spans="1:36" ht="16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spans="1:36" ht="16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spans="1:36" ht="16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spans="1:36" ht="16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spans="1:36" ht="16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spans="1:36" ht="16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spans="1:36" ht="16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spans="1:36" ht="16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spans="1:36" ht="16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spans="1:36" ht="16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spans="1:36" ht="16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spans="1:36" ht="16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spans="1:36" ht="16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spans="1:36" ht="16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spans="1:36" ht="16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spans="1:36" ht="16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spans="1:36" ht="16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spans="1:36" ht="16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spans="1:36" ht="16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spans="1:36" ht="16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spans="1:36" ht="16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spans="1:36" ht="16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spans="1:36" ht="16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spans="1:36" ht="16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spans="1:36" ht="16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spans="1:36" ht="16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spans="1:36" ht="16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spans="1:36" ht="16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spans="1:36" ht="16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spans="1:36" ht="16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spans="1:36" ht="16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spans="1:36" ht="16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spans="1:36" ht="16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spans="1:36" ht="16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spans="1:36" ht="16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spans="1:36" ht="16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spans="1:36" ht="16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spans="1:36" ht="16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spans="1:36" ht="16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spans="1:36" ht="16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spans="1:36" ht="16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spans="1:36" ht="16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spans="1:36" ht="16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spans="1:36" ht="16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spans="1:36" ht="16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spans="1:36" ht="16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spans="1:36" ht="16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spans="1:36" ht="16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spans="1:36" ht="16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spans="1:36" ht="16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spans="1:36" ht="16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spans="1:36" ht="16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spans="1:36" ht="16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spans="1:36" ht="16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spans="1:36" ht="16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spans="1:36" ht="16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spans="1:36" ht="16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spans="1:36" ht="16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spans="1:36" ht="16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spans="1:36" ht="16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spans="1:36" ht="16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spans="1:36" ht="16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spans="1:36" ht="16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spans="1:36" ht="16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spans="1:36" ht="16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spans="1:36" ht="16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spans="1:36" ht="16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spans="1:36" ht="16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spans="1:36" ht="16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spans="1:36" ht="16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spans="1:36" ht="16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spans="1:36" ht="16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spans="1:36" ht="16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spans="1:36" ht="16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spans="1:36" ht="16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spans="1:36" ht="16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spans="1:36" ht="16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spans="1:36" ht="16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spans="1:36" ht="16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spans="1:36" ht="16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spans="1:36" ht="16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spans="1:36" ht="16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spans="1:36" ht="16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spans="1:36" ht="16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spans="1:36" ht="16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spans="1:36" ht="16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spans="1:36" ht="16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spans="1:36" ht="16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spans="1:36" ht="16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spans="1:36" ht="16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spans="1:36" ht="16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spans="1:36" ht="16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spans="1:36" ht="16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spans="1:36" ht="16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spans="1:36" ht="16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spans="1:36" ht="16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spans="1:36" ht="16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spans="1:36" ht="16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spans="1:36" ht="16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spans="1:36" ht="16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spans="1:36" ht="16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spans="1:36" ht="16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spans="1:36" ht="16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spans="1:36" ht="16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spans="1:36" ht="16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spans="1:36" ht="16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spans="1:36" ht="16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spans="1:36" ht="16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spans="1:36" ht="16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spans="1:36" ht="16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spans="1:36" ht="16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spans="1:36" ht="16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spans="1:36" ht="16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spans="1:36" ht="16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spans="1:36" ht="16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spans="1:36" ht="16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spans="1:36" ht="16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spans="1:36" ht="16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spans="1:36" ht="16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spans="1:36" ht="16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spans="1:36" ht="16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spans="1:36" ht="16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spans="1:36" ht="16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spans="1:36" ht="16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spans="1:36" ht="16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spans="1:36" ht="16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spans="1:36" ht="16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spans="1:36" ht="16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spans="1:36" ht="16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spans="1:36" ht="16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spans="1:36" ht="16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spans="1:36" ht="16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spans="1:36" ht="16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spans="1:36" ht="16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spans="1:36" ht="16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spans="1:36" ht="16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spans="1:36" ht="16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spans="1:36" ht="16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spans="1:36" ht="16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spans="1:36" ht="16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spans="1:36" ht="16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spans="1:36" ht="16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spans="1:36" ht="16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spans="1:36" ht="16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spans="1:36" ht="16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spans="1:36" ht="16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spans="1:36" ht="16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spans="1:36" ht="16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spans="1:36" ht="16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spans="1:36" ht="16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spans="1:36" ht="16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spans="1:36" ht="16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spans="1:36" ht="16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spans="1:36" ht="16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spans="1:36" ht="16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spans="1:36" ht="16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spans="1:36" ht="16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spans="1:36" ht="16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spans="1:36" ht="16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spans="1:36" ht="16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spans="1:36" ht="16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spans="1:36" ht="16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spans="1:36" ht="16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spans="1:36" ht="16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spans="1:36" ht="16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spans="1:36" ht="16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spans="1:36" ht="16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spans="1:36" ht="16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spans="1:36" ht="16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spans="1:36" ht="16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spans="1:36" ht="16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spans="1:36" ht="16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spans="1:36" ht="16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spans="1:36" ht="16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spans="1:36" ht="16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spans="1:36" ht="16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spans="1:36" ht="16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spans="1:36" ht="16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spans="1:36" ht="16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spans="1:36" ht="16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spans="1:36" ht="16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spans="1:36" ht="16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spans="1:36" ht="16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spans="1:36" ht="16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spans="1:36" ht="16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spans="1:36" ht="16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spans="1:36" ht="16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spans="1:36" ht="16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spans="1:36" ht="16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spans="1:36" ht="16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spans="1:36" ht="16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spans="1:36" ht="16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spans="1:36" ht="16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spans="1:36" ht="16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spans="1:36" ht="16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spans="1:36" ht="16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spans="1:36" ht="16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spans="1:36" ht="16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spans="1:36" ht="16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spans="1:36" ht="16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spans="1:36" ht="16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spans="1:36" ht="16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spans="1:36" ht="16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spans="1:36" ht="16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spans="1:36" ht="16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spans="1:36" ht="16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spans="1:36" ht="16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spans="1:36" ht="16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spans="1:36" ht="16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spans="1:36" ht="16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spans="1:36" ht="16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spans="1:36" ht="16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spans="1:36" ht="16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spans="1:36" ht="16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spans="1:36" ht="16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spans="1:36" ht="16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spans="1:36" ht="16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spans="1:36" ht="16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spans="1:36" ht="16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spans="1:36" ht="16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spans="1:36" ht="16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spans="1:36" ht="16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spans="1:36" ht="16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</sheetData>
  <mergeCells count="184">
    <mergeCell ref="M2:N2"/>
    <mergeCell ref="Q2:R2"/>
    <mergeCell ref="U2:W2"/>
    <mergeCell ref="C4:D4"/>
    <mergeCell ref="B5:D5"/>
    <mergeCell ref="B6:C6"/>
    <mergeCell ref="E6:F6"/>
    <mergeCell ref="H6:I6"/>
    <mergeCell ref="K6:L6"/>
    <mergeCell ref="B2:D2"/>
    <mergeCell ref="E2:F2"/>
    <mergeCell ref="I2:J2"/>
    <mergeCell ref="N6:O6"/>
    <mergeCell ref="Q6:R6"/>
    <mergeCell ref="T6:U6"/>
    <mergeCell ref="B7:D7"/>
    <mergeCell ref="B8:C8"/>
    <mergeCell ref="E8:F8"/>
    <mergeCell ref="H8:I8"/>
    <mergeCell ref="K8:L8"/>
    <mergeCell ref="N8:O8"/>
    <mergeCell ref="Q8:R8"/>
    <mergeCell ref="B11:D11"/>
    <mergeCell ref="B12:C12"/>
    <mergeCell ref="E12:F12"/>
    <mergeCell ref="H12:I12"/>
    <mergeCell ref="K12:L12"/>
    <mergeCell ref="N12:O12"/>
    <mergeCell ref="T8:U8"/>
    <mergeCell ref="B9:D9"/>
    <mergeCell ref="B10:C10"/>
    <mergeCell ref="E10:F10"/>
    <mergeCell ref="H10:I10"/>
    <mergeCell ref="K10:L10"/>
    <mergeCell ref="N10:O10"/>
    <mergeCell ref="Q10:R10"/>
    <mergeCell ref="T10:U10"/>
    <mergeCell ref="B15:D15"/>
    <mergeCell ref="B16:C16"/>
    <mergeCell ref="E16:F16"/>
    <mergeCell ref="H16:I16"/>
    <mergeCell ref="K16:L16"/>
    <mergeCell ref="N16:O16"/>
    <mergeCell ref="Q12:R12"/>
    <mergeCell ref="T12:U12"/>
    <mergeCell ref="B13:D13"/>
    <mergeCell ref="B14:C14"/>
    <mergeCell ref="E14:F14"/>
    <mergeCell ref="H14:I14"/>
    <mergeCell ref="K14:L14"/>
    <mergeCell ref="N14:O14"/>
    <mergeCell ref="Q14:R14"/>
    <mergeCell ref="T14:U14"/>
    <mergeCell ref="B19:D19"/>
    <mergeCell ref="B20:C20"/>
    <mergeCell ref="E20:F20"/>
    <mergeCell ref="H20:I20"/>
    <mergeCell ref="K20:L20"/>
    <mergeCell ref="N20:O20"/>
    <mergeCell ref="Q16:R16"/>
    <mergeCell ref="T16:U16"/>
    <mergeCell ref="B17:D17"/>
    <mergeCell ref="B18:C18"/>
    <mergeCell ref="E18:F18"/>
    <mergeCell ref="H18:I18"/>
    <mergeCell ref="K18:L18"/>
    <mergeCell ref="N18:O18"/>
    <mergeCell ref="Q18:R18"/>
    <mergeCell ref="T18:U18"/>
    <mergeCell ref="B23:D23"/>
    <mergeCell ref="B24:C24"/>
    <mergeCell ref="E24:F24"/>
    <mergeCell ref="H24:I24"/>
    <mergeCell ref="K24:L24"/>
    <mergeCell ref="N24:O24"/>
    <mergeCell ref="Q20:R20"/>
    <mergeCell ref="T20:U20"/>
    <mergeCell ref="B21:D21"/>
    <mergeCell ref="B22:C22"/>
    <mergeCell ref="E22:F22"/>
    <mergeCell ref="H22:I22"/>
    <mergeCell ref="K22:L22"/>
    <mergeCell ref="N22:O22"/>
    <mergeCell ref="Q22:R22"/>
    <mergeCell ref="T22:U22"/>
    <mergeCell ref="B27:D27"/>
    <mergeCell ref="B28:C28"/>
    <mergeCell ref="E28:F28"/>
    <mergeCell ref="H28:I28"/>
    <mergeCell ref="K28:L28"/>
    <mergeCell ref="N28:O28"/>
    <mergeCell ref="Q24:R24"/>
    <mergeCell ref="T24:U24"/>
    <mergeCell ref="B25:D25"/>
    <mergeCell ref="B26:C26"/>
    <mergeCell ref="E26:F26"/>
    <mergeCell ref="H26:I26"/>
    <mergeCell ref="K26:L26"/>
    <mergeCell ref="N26:O26"/>
    <mergeCell ref="Q26:R26"/>
    <mergeCell ref="T26:U26"/>
    <mergeCell ref="B31:D31"/>
    <mergeCell ref="B32:C32"/>
    <mergeCell ref="E32:F32"/>
    <mergeCell ref="H32:I32"/>
    <mergeCell ref="K32:L32"/>
    <mergeCell ref="N32:O32"/>
    <mergeCell ref="Q28:R28"/>
    <mergeCell ref="T28:U28"/>
    <mergeCell ref="B29:D29"/>
    <mergeCell ref="B30:C30"/>
    <mergeCell ref="E30:F30"/>
    <mergeCell ref="H30:I30"/>
    <mergeCell ref="K30:L30"/>
    <mergeCell ref="N30:O30"/>
    <mergeCell ref="Q30:R30"/>
    <mergeCell ref="T30:U30"/>
    <mergeCell ref="B35:D35"/>
    <mergeCell ref="B36:C36"/>
    <mergeCell ref="E36:F36"/>
    <mergeCell ref="H36:I36"/>
    <mergeCell ref="K36:L36"/>
    <mergeCell ref="N36:O36"/>
    <mergeCell ref="Q32:R32"/>
    <mergeCell ref="T32:U32"/>
    <mergeCell ref="B33:D33"/>
    <mergeCell ref="B34:C34"/>
    <mergeCell ref="E34:F34"/>
    <mergeCell ref="H34:I34"/>
    <mergeCell ref="K34:L34"/>
    <mergeCell ref="N34:O34"/>
    <mergeCell ref="Q34:R34"/>
    <mergeCell ref="T34:U34"/>
    <mergeCell ref="B39:D39"/>
    <mergeCell ref="B40:C40"/>
    <mergeCell ref="E40:F40"/>
    <mergeCell ref="H40:I40"/>
    <mergeCell ref="K40:L40"/>
    <mergeCell ref="N40:O40"/>
    <mergeCell ref="Q36:R36"/>
    <mergeCell ref="T36:U36"/>
    <mergeCell ref="B37:D37"/>
    <mergeCell ref="B38:C38"/>
    <mergeCell ref="E38:F38"/>
    <mergeCell ref="H38:I38"/>
    <mergeCell ref="K38:L38"/>
    <mergeCell ref="N38:O38"/>
    <mergeCell ref="Q38:R38"/>
    <mergeCell ref="T38:U38"/>
    <mergeCell ref="B43:D43"/>
    <mergeCell ref="B44:C44"/>
    <mergeCell ref="E44:F44"/>
    <mergeCell ref="H44:I44"/>
    <mergeCell ref="K44:L44"/>
    <mergeCell ref="N44:O44"/>
    <mergeCell ref="Q40:R40"/>
    <mergeCell ref="T40:U40"/>
    <mergeCell ref="B41:D41"/>
    <mergeCell ref="B42:C42"/>
    <mergeCell ref="E42:F42"/>
    <mergeCell ref="H42:I42"/>
    <mergeCell ref="K42:L42"/>
    <mergeCell ref="N42:O42"/>
    <mergeCell ref="Q42:R42"/>
    <mergeCell ref="T42:U42"/>
    <mergeCell ref="Q44:R44"/>
    <mergeCell ref="T44:U44"/>
    <mergeCell ref="B46:J46"/>
    <mergeCell ref="L46:U46"/>
    <mergeCell ref="B47:J53"/>
    <mergeCell ref="L47:S47"/>
    <mergeCell ref="T47:U47"/>
    <mergeCell ref="L48:S48"/>
    <mergeCell ref="T48:U48"/>
    <mergeCell ref="L49:S49"/>
    <mergeCell ref="L53:S53"/>
    <mergeCell ref="T53:U53"/>
    <mergeCell ref="T49:U49"/>
    <mergeCell ref="L50:S50"/>
    <mergeCell ref="T50:U50"/>
    <mergeCell ref="L51:S51"/>
    <mergeCell ref="T51:U51"/>
    <mergeCell ref="L52:S52"/>
    <mergeCell ref="T52:U52"/>
  </mergeCells>
  <conditionalFormatting sqref="E5:AH44">
    <cfRule type="cellIs" dxfId="76" priority="1" operator="equal">
      <formula>"H"</formula>
    </cfRule>
    <cfRule type="cellIs" dxfId="75" priority="6" operator="equal">
      <formula>"I"</formula>
    </cfRule>
    <cfRule type="cellIs" dxfId="74" priority="7" operator="equal">
      <formula>"T"</formula>
    </cfRule>
    <cfRule type="cellIs" dxfId="73" priority="8" operator="equal">
      <formula>"A"</formula>
    </cfRule>
  </conditionalFormatting>
  <conditionalFormatting sqref="G2 K2 O2">
    <cfRule type="cellIs" dxfId="72" priority="2" operator="equal">
      <formula>"I"</formula>
    </cfRule>
    <cfRule type="cellIs" dxfId="71" priority="9" operator="equal">
      <formula>"H"</formula>
    </cfRule>
    <cfRule type="cellIs" dxfId="70" priority="10" operator="equal">
      <formula>"T"</formula>
    </cfRule>
    <cfRule type="cellIs" dxfId="69" priority="11" operator="equal">
      <formula>"A"</formula>
    </cfRule>
  </conditionalFormatting>
  <conditionalFormatting sqref="S2">
    <cfRule type="cellIs" dxfId="68" priority="3" operator="equal">
      <formula>"H"</formula>
    </cfRule>
    <cfRule type="cellIs" dxfId="67" priority="4" operator="equal">
      <formula>"T"</formula>
    </cfRule>
    <cfRule type="cellIs" dxfId="66" priority="5" operator="equal">
      <formula>"A"</formula>
    </cfRule>
  </conditionalFormatting>
  <pageMargins left="0.4" right="0.4" top="0.4" bottom="0.4" header="0" footer="0"/>
  <pageSetup paperSize="3" scale="42"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FDA10-4F8E-4FDF-A068-3EA5610E5D3C}">
  <sheetPr codeName="Sheet8">
    <tabColor rgb="FFE6D92E"/>
    <outlinePr summaryBelow="0" summaryRight="0"/>
    <pageSetUpPr fitToPage="1"/>
  </sheetPr>
  <dimension ref="A1:AJ650"/>
  <sheetViews>
    <sheetView showGridLines="0" topLeftCell="F41" zoomScaleNormal="100" workbookViewId="0">
      <selection activeCell="L53" sqref="L46:U53"/>
    </sheetView>
  </sheetViews>
  <sheetFormatPr defaultColWidth="14.453125" defaultRowHeight="15.75" customHeight="1" x14ac:dyDescent="0.25"/>
  <cols>
    <col min="1" max="1" width="3.36328125" style="1" customWidth="1"/>
    <col min="2" max="2" width="19.36328125" style="1" customWidth="1"/>
    <col min="3" max="4" width="14.81640625" style="1" customWidth="1"/>
    <col min="5" max="35" width="7.81640625" style="1" customWidth="1"/>
    <col min="36" max="36" width="3.36328125" style="1" customWidth="1"/>
    <col min="37" max="16384" width="14.453125" style="1"/>
  </cols>
  <sheetData>
    <row r="1" spans="1:36" ht="50" customHeight="1" thickBot="1" x14ac:dyDescent="0.4">
      <c r="A1" s="2"/>
      <c r="B1" s="20" t="s">
        <v>64</v>
      </c>
      <c r="C1" s="2"/>
      <c r="D1" s="3"/>
      <c r="E1" s="4"/>
      <c r="F1" s="2"/>
      <c r="G1" s="3"/>
      <c r="H1" s="3"/>
      <c r="I1" s="2"/>
      <c r="J1" s="2"/>
      <c r="K1" s="3"/>
      <c r="L1" s="3"/>
      <c r="M1" s="2"/>
      <c r="N1" s="2"/>
      <c r="O1" s="3"/>
      <c r="P1" s="3"/>
      <c r="R1" s="2"/>
      <c r="S1" s="3"/>
      <c r="T1" s="3"/>
      <c r="V1" s="2"/>
      <c r="X1" s="2"/>
      <c r="Y1" s="2"/>
      <c r="Z1" s="2"/>
      <c r="AA1" s="2"/>
      <c r="AB1" s="2"/>
      <c r="AC1" s="2"/>
      <c r="AD1" s="2"/>
      <c r="AE1" s="2"/>
      <c r="AF1" s="2"/>
      <c r="AH1" s="2"/>
      <c r="AI1" s="2"/>
      <c r="AJ1" s="2"/>
    </row>
    <row r="2" spans="1:36" ht="44" customHeight="1" x14ac:dyDescent="0.35">
      <c r="A2" s="2"/>
      <c r="B2" s="76" t="s">
        <v>3</v>
      </c>
      <c r="C2" s="76"/>
      <c r="D2" s="77"/>
      <c r="E2" s="42" t="s">
        <v>4</v>
      </c>
      <c r="F2" s="43"/>
      <c r="G2" s="21" t="s">
        <v>8</v>
      </c>
      <c r="I2" s="44" t="s">
        <v>5</v>
      </c>
      <c r="J2" s="45"/>
      <c r="K2" s="11" t="s">
        <v>9</v>
      </c>
      <c r="M2" s="46" t="s">
        <v>7</v>
      </c>
      <c r="N2" s="47"/>
      <c r="O2" s="12" t="s">
        <v>10</v>
      </c>
      <c r="Q2" s="46" t="s">
        <v>6</v>
      </c>
      <c r="R2" s="47"/>
      <c r="S2" s="12" t="s">
        <v>0</v>
      </c>
      <c r="T2" s="23"/>
      <c r="U2" s="40"/>
      <c r="V2" s="40"/>
      <c r="W2" s="40"/>
      <c r="X2" s="22"/>
      <c r="AC2" s="2"/>
      <c r="AD2" s="2"/>
      <c r="AE2" s="2"/>
      <c r="AF2" s="2"/>
      <c r="AG2" s="2"/>
      <c r="AH2" s="2"/>
      <c r="AI2" s="2"/>
      <c r="AJ2" s="2"/>
    </row>
    <row r="3" spans="1:36" ht="16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ht="25" customHeight="1" x14ac:dyDescent="0.35">
      <c r="A4" s="2"/>
      <c r="B4" s="25" t="s">
        <v>16</v>
      </c>
      <c r="C4" s="73" t="s">
        <v>65</v>
      </c>
      <c r="D4" s="74"/>
      <c r="E4" s="24">
        <v>1</v>
      </c>
      <c r="F4" s="24">
        <v>2</v>
      </c>
      <c r="G4" s="24">
        <v>3</v>
      </c>
      <c r="H4" s="24">
        <v>4</v>
      </c>
      <c r="I4" s="24">
        <v>5</v>
      </c>
      <c r="J4" s="24">
        <v>6</v>
      </c>
      <c r="K4" s="24">
        <v>7</v>
      </c>
      <c r="L4" s="24">
        <v>8</v>
      </c>
      <c r="M4" s="24">
        <v>9</v>
      </c>
      <c r="N4" s="24">
        <v>10</v>
      </c>
      <c r="O4" s="24">
        <v>11</v>
      </c>
      <c r="P4" s="24">
        <v>12</v>
      </c>
      <c r="Q4" s="24">
        <v>13</v>
      </c>
      <c r="R4" s="24">
        <v>14</v>
      </c>
      <c r="S4" s="24">
        <v>15</v>
      </c>
      <c r="T4" s="24">
        <v>16</v>
      </c>
      <c r="U4" s="24">
        <v>17</v>
      </c>
      <c r="V4" s="24">
        <v>18</v>
      </c>
      <c r="W4" s="24">
        <v>19</v>
      </c>
      <c r="X4" s="24">
        <v>20</v>
      </c>
      <c r="Y4" s="24">
        <v>21</v>
      </c>
      <c r="Z4" s="24">
        <v>22</v>
      </c>
      <c r="AA4" s="24">
        <v>23</v>
      </c>
      <c r="AB4" s="24">
        <v>24</v>
      </c>
      <c r="AC4" s="24">
        <v>25</v>
      </c>
      <c r="AD4" s="24">
        <v>26</v>
      </c>
      <c r="AE4" s="24">
        <v>27</v>
      </c>
      <c r="AF4" s="24">
        <v>28</v>
      </c>
      <c r="AG4" s="24">
        <v>29</v>
      </c>
      <c r="AH4" s="24">
        <v>30</v>
      </c>
      <c r="AI4" s="24">
        <v>31</v>
      </c>
      <c r="AJ4" s="2"/>
    </row>
    <row r="5" spans="1:36" ht="22" customHeight="1" x14ac:dyDescent="0.35">
      <c r="A5" s="2"/>
      <c r="B5" s="75" t="s">
        <v>22</v>
      </c>
      <c r="C5" s="75"/>
      <c r="D5" s="75"/>
      <c r="E5" s="16" t="s">
        <v>10</v>
      </c>
      <c r="F5" s="16" t="s">
        <v>0</v>
      </c>
      <c r="G5" s="17" t="s">
        <v>8</v>
      </c>
      <c r="H5" s="17" t="s">
        <v>8</v>
      </c>
      <c r="I5" s="17" t="s">
        <v>8</v>
      </c>
      <c r="J5" s="17" t="s">
        <v>8</v>
      </c>
      <c r="K5" s="17" t="s">
        <v>8</v>
      </c>
      <c r="L5" s="19" t="s">
        <v>8</v>
      </c>
      <c r="M5" s="19" t="s">
        <v>9</v>
      </c>
      <c r="N5" s="18" t="s">
        <v>9</v>
      </c>
      <c r="O5" s="18" t="s">
        <v>8</v>
      </c>
      <c r="P5" s="18" t="s">
        <v>9</v>
      </c>
      <c r="Q5" s="18" t="s">
        <v>8</v>
      </c>
      <c r="R5" s="18" t="s">
        <v>8</v>
      </c>
      <c r="S5" s="18" t="s">
        <v>8</v>
      </c>
      <c r="T5" s="18" t="s">
        <v>8</v>
      </c>
      <c r="U5" s="18" t="s">
        <v>9</v>
      </c>
      <c r="V5" s="18" t="s">
        <v>8</v>
      </c>
      <c r="W5" s="18" t="s">
        <v>8</v>
      </c>
      <c r="X5" s="18" t="s">
        <v>8</v>
      </c>
      <c r="Y5" s="18" t="s">
        <v>9</v>
      </c>
      <c r="Z5" s="18" t="s">
        <v>0</v>
      </c>
      <c r="AA5" s="18" t="s">
        <v>0</v>
      </c>
      <c r="AB5" s="18" t="s">
        <v>8</v>
      </c>
      <c r="AC5" s="18" t="s">
        <v>8</v>
      </c>
      <c r="AD5" s="18" t="s">
        <v>8</v>
      </c>
      <c r="AE5" s="18" t="s">
        <v>8</v>
      </c>
      <c r="AF5" s="18" t="s">
        <v>8</v>
      </c>
      <c r="AG5" s="18" t="s">
        <v>8</v>
      </c>
      <c r="AH5" s="18" t="s">
        <v>0</v>
      </c>
      <c r="AI5" s="18" t="s">
        <v>8</v>
      </c>
      <c r="AJ5" s="2"/>
    </row>
    <row r="6" spans="1:36" s="8" customFormat="1" ht="22" customHeight="1" thickBot="1" x14ac:dyDescent="0.3">
      <c r="A6" s="6"/>
      <c r="B6" s="65" t="s">
        <v>18</v>
      </c>
      <c r="C6" s="66"/>
      <c r="D6" s="7" t="s">
        <v>17</v>
      </c>
      <c r="E6" s="67" t="s">
        <v>11</v>
      </c>
      <c r="F6" s="68"/>
      <c r="G6" s="13">
        <f>COUNTIF(E5:AI5,"H")</f>
        <v>21</v>
      </c>
      <c r="H6" s="67" t="s">
        <v>12</v>
      </c>
      <c r="I6" s="68"/>
      <c r="J6" s="13">
        <f>COUNTIF(E5:AI5,"T")</f>
        <v>5</v>
      </c>
      <c r="K6" s="67" t="s">
        <v>13</v>
      </c>
      <c r="L6" s="68"/>
      <c r="M6" s="13">
        <f>COUNTIF(E5:AI5,"A") + COUNTIF(E5:AI5,"I")</f>
        <v>5</v>
      </c>
      <c r="N6" s="67" t="s">
        <v>14</v>
      </c>
      <c r="O6" s="68"/>
      <c r="P6" s="13">
        <f>IF((G6+J6+M6)=0,0,(G6+J6)/(G6+J6+M6)*100)</f>
        <v>83.870967741935488</v>
      </c>
      <c r="Q6" s="67"/>
      <c r="R6" s="68"/>
      <c r="S6" s="13"/>
      <c r="T6" s="67"/>
      <c r="U6" s="68"/>
      <c r="V6" s="14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6"/>
    </row>
    <row r="7" spans="1:36" ht="22" customHeight="1" x14ac:dyDescent="0.25">
      <c r="A7" s="5"/>
      <c r="B7" s="72" t="s">
        <v>23</v>
      </c>
      <c r="C7" s="72"/>
      <c r="D7" s="72"/>
      <c r="E7" s="16" t="s">
        <v>8</v>
      </c>
      <c r="F7" s="16" t="s">
        <v>0</v>
      </c>
      <c r="G7" s="17" t="s">
        <v>8</v>
      </c>
      <c r="H7" s="17" t="s">
        <v>8</v>
      </c>
      <c r="I7" s="17" t="s">
        <v>8</v>
      </c>
      <c r="J7" s="17" t="s">
        <v>8</v>
      </c>
      <c r="K7" s="17" t="s">
        <v>8</v>
      </c>
      <c r="L7" s="19" t="s">
        <v>8</v>
      </c>
      <c r="M7" s="19" t="s">
        <v>9</v>
      </c>
      <c r="N7" s="18" t="s">
        <v>9</v>
      </c>
      <c r="O7" s="18" t="s">
        <v>8</v>
      </c>
      <c r="P7" s="18" t="s">
        <v>9</v>
      </c>
      <c r="Q7" s="18" t="s">
        <v>8</v>
      </c>
      <c r="R7" s="18" t="s">
        <v>8</v>
      </c>
      <c r="S7" s="18" t="s">
        <v>8</v>
      </c>
      <c r="T7" s="18" t="s">
        <v>8</v>
      </c>
      <c r="U7" s="18" t="s">
        <v>9</v>
      </c>
      <c r="V7" s="18" t="s">
        <v>8</v>
      </c>
      <c r="W7" s="18" t="s">
        <v>8</v>
      </c>
      <c r="X7" s="18" t="s">
        <v>8</v>
      </c>
      <c r="Y7" s="18" t="s">
        <v>9</v>
      </c>
      <c r="Z7" s="18" t="s">
        <v>0</v>
      </c>
      <c r="AA7" s="18" t="s">
        <v>0</v>
      </c>
      <c r="AB7" s="18" t="s">
        <v>8</v>
      </c>
      <c r="AC7" s="18" t="s">
        <v>8</v>
      </c>
      <c r="AD7" s="18" t="s">
        <v>8</v>
      </c>
      <c r="AE7" s="18" t="s">
        <v>8</v>
      </c>
      <c r="AF7" s="18" t="s">
        <v>8</v>
      </c>
      <c r="AG7" s="18" t="s">
        <v>8</v>
      </c>
      <c r="AH7" s="18" t="s">
        <v>0</v>
      </c>
      <c r="AI7" s="18" t="s">
        <v>8</v>
      </c>
      <c r="AJ7" s="5"/>
    </row>
    <row r="8" spans="1:36" s="8" customFormat="1" ht="22" customHeight="1" thickBot="1" x14ac:dyDescent="0.3">
      <c r="A8" s="6"/>
      <c r="B8" s="65" t="s">
        <v>18</v>
      </c>
      <c r="C8" s="66"/>
      <c r="D8" s="7" t="s">
        <v>17</v>
      </c>
      <c r="E8" s="67" t="s">
        <v>11</v>
      </c>
      <c r="F8" s="68"/>
      <c r="G8" s="13">
        <f>COUNTIF(E7:AI7,"H")</f>
        <v>22</v>
      </c>
      <c r="H8" s="67" t="s">
        <v>12</v>
      </c>
      <c r="I8" s="68"/>
      <c r="J8" s="13">
        <f>COUNTIF(E7:AI7,"T")</f>
        <v>5</v>
      </c>
      <c r="K8" s="67" t="s">
        <v>13</v>
      </c>
      <c r="L8" s="68"/>
      <c r="M8" s="13">
        <f>COUNTIF(E7:AI7,"A") + COUNTIF(E7:AI7,"I")</f>
        <v>4</v>
      </c>
      <c r="N8" s="67" t="s">
        <v>14</v>
      </c>
      <c r="O8" s="68"/>
      <c r="P8" s="13">
        <f>IF((G8+J8+M8)=0,0,(G8+J8)/(G8+J8+M8)*100)</f>
        <v>87.096774193548384</v>
      </c>
      <c r="Q8" s="67"/>
      <c r="R8" s="68"/>
      <c r="S8" s="13"/>
      <c r="T8" s="67"/>
      <c r="U8" s="68"/>
      <c r="V8" s="14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6"/>
    </row>
    <row r="9" spans="1:36" ht="22" customHeight="1" x14ac:dyDescent="0.35">
      <c r="A9" s="2"/>
      <c r="B9" s="72" t="s">
        <v>24</v>
      </c>
      <c r="C9" s="72"/>
      <c r="D9" s="72"/>
      <c r="E9" s="16" t="s">
        <v>8</v>
      </c>
      <c r="F9" s="16" t="s">
        <v>8</v>
      </c>
      <c r="G9" s="17" t="s">
        <v>8</v>
      </c>
      <c r="H9" s="17" t="s">
        <v>8</v>
      </c>
      <c r="I9" s="17" t="s">
        <v>0</v>
      </c>
      <c r="J9" s="17" t="s">
        <v>8</v>
      </c>
      <c r="K9" s="17" t="s">
        <v>9</v>
      </c>
      <c r="L9" s="19" t="s">
        <v>8</v>
      </c>
      <c r="M9" s="19" t="s">
        <v>9</v>
      </c>
      <c r="N9" s="18" t="s">
        <v>8</v>
      </c>
      <c r="O9" s="18" t="s">
        <v>8</v>
      </c>
      <c r="P9" s="18" t="s">
        <v>9</v>
      </c>
      <c r="Q9" s="18" t="s">
        <v>8</v>
      </c>
      <c r="R9" s="18" t="s">
        <v>8</v>
      </c>
      <c r="S9" s="18" t="s">
        <v>9</v>
      </c>
      <c r="T9" s="18" t="s">
        <v>9</v>
      </c>
      <c r="U9" s="18" t="s">
        <v>9</v>
      </c>
      <c r="V9" s="18" t="s">
        <v>0</v>
      </c>
      <c r="W9" s="18" t="s">
        <v>8</v>
      </c>
      <c r="X9" s="18" t="s">
        <v>8</v>
      </c>
      <c r="Y9" s="18" t="s">
        <v>9</v>
      </c>
      <c r="Z9" s="18" t="s">
        <v>0</v>
      </c>
      <c r="AA9" s="18" t="s">
        <v>0</v>
      </c>
      <c r="AB9" s="18" t="s">
        <v>8</v>
      </c>
      <c r="AC9" s="18" t="s">
        <v>8</v>
      </c>
      <c r="AD9" s="18" t="s">
        <v>8</v>
      </c>
      <c r="AE9" s="18" t="s">
        <v>8</v>
      </c>
      <c r="AF9" s="18" t="s">
        <v>8</v>
      </c>
      <c r="AG9" s="18" t="s">
        <v>8</v>
      </c>
      <c r="AH9" s="18" t="s">
        <v>0</v>
      </c>
      <c r="AI9" s="18" t="s">
        <v>8</v>
      </c>
      <c r="AJ9" s="2"/>
    </row>
    <row r="10" spans="1:36" s="8" customFormat="1" ht="22" customHeight="1" thickBot="1" x14ac:dyDescent="0.3">
      <c r="A10" s="6"/>
      <c r="B10" s="65" t="s">
        <v>18</v>
      </c>
      <c r="C10" s="66"/>
      <c r="D10" s="7" t="s">
        <v>17</v>
      </c>
      <c r="E10" s="67" t="s">
        <v>11</v>
      </c>
      <c r="F10" s="68"/>
      <c r="G10" s="13">
        <f>COUNTIF(E9:AI9,"H")</f>
        <v>19</v>
      </c>
      <c r="H10" s="67" t="s">
        <v>12</v>
      </c>
      <c r="I10" s="68"/>
      <c r="J10" s="13">
        <f>COUNTIF(E9:AI9,"T")</f>
        <v>7</v>
      </c>
      <c r="K10" s="67" t="s">
        <v>13</v>
      </c>
      <c r="L10" s="68"/>
      <c r="M10" s="13">
        <f>COUNTIF(E9:AI9,"A") + COUNTIF(E9:AI9,"I")</f>
        <v>5</v>
      </c>
      <c r="N10" s="67" t="s">
        <v>14</v>
      </c>
      <c r="O10" s="68"/>
      <c r="P10" s="13">
        <f>IF((G10+J10+M10)=0,0,(G10+J10)/(G10+J10+M10)*100)</f>
        <v>83.870967741935488</v>
      </c>
      <c r="Q10" s="67"/>
      <c r="R10" s="68"/>
      <c r="S10" s="13"/>
      <c r="T10" s="67"/>
      <c r="U10" s="68"/>
      <c r="V10" s="14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6"/>
    </row>
    <row r="11" spans="1:36" s="10" customFormat="1" ht="22" customHeight="1" x14ac:dyDescent="0.25">
      <c r="A11" s="9"/>
      <c r="B11" s="72" t="s">
        <v>25</v>
      </c>
      <c r="C11" s="72"/>
      <c r="D11" s="72"/>
      <c r="E11" s="16" t="s">
        <v>8</v>
      </c>
      <c r="F11" s="16" t="s">
        <v>0</v>
      </c>
      <c r="G11" s="17" t="s">
        <v>8</v>
      </c>
      <c r="H11" s="17" t="s">
        <v>8</v>
      </c>
      <c r="I11" s="17" t="s">
        <v>8</v>
      </c>
      <c r="J11" s="17" t="s">
        <v>8</v>
      </c>
      <c r="K11" s="17" t="s">
        <v>8</v>
      </c>
      <c r="L11" s="19" t="s">
        <v>8</v>
      </c>
      <c r="M11" s="19" t="s">
        <v>8</v>
      </c>
      <c r="N11" s="18" t="s">
        <v>8</v>
      </c>
      <c r="O11" s="18" t="s">
        <v>8</v>
      </c>
      <c r="P11" s="18" t="s">
        <v>8</v>
      </c>
      <c r="Q11" s="18" t="s">
        <v>8</v>
      </c>
      <c r="R11" s="18" t="s">
        <v>8</v>
      </c>
      <c r="S11" s="18" t="s">
        <v>8</v>
      </c>
      <c r="T11" s="18" t="s">
        <v>8</v>
      </c>
      <c r="U11" s="18" t="s">
        <v>9</v>
      </c>
      <c r="V11" s="18" t="s">
        <v>8</v>
      </c>
      <c r="W11" s="18" t="s">
        <v>8</v>
      </c>
      <c r="X11" s="18" t="s">
        <v>8</v>
      </c>
      <c r="Y11" s="18" t="s">
        <v>8</v>
      </c>
      <c r="Z11" s="18" t="s">
        <v>8</v>
      </c>
      <c r="AA11" s="18" t="s">
        <v>8</v>
      </c>
      <c r="AB11" s="18" t="s">
        <v>8</v>
      </c>
      <c r="AC11" s="18" t="s">
        <v>8</v>
      </c>
      <c r="AD11" s="18" t="s">
        <v>8</v>
      </c>
      <c r="AE11" s="18" t="s">
        <v>8</v>
      </c>
      <c r="AF11" s="18" t="s">
        <v>8</v>
      </c>
      <c r="AG11" s="18" t="s">
        <v>8</v>
      </c>
      <c r="AH11" s="18" t="s">
        <v>0</v>
      </c>
      <c r="AI11" s="18" t="s">
        <v>8</v>
      </c>
      <c r="AJ11" s="9"/>
    </row>
    <row r="12" spans="1:36" s="8" customFormat="1" ht="22" customHeight="1" thickBot="1" x14ac:dyDescent="0.3">
      <c r="A12" s="6"/>
      <c r="B12" s="65" t="s">
        <v>18</v>
      </c>
      <c r="C12" s="66"/>
      <c r="D12" s="7" t="s">
        <v>17</v>
      </c>
      <c r="E12" s="67" t="s">
        <v>11</v>
      </c>
      <c r="F12" s="68"/>
      <c r="G12" s="13">
        <f>COUNTIF(E11:AI11,"H")</f>
        <v>28</v>
      </c>
      <c r="H12" s="67" t="s">
        <v>12</v>
      </c>
      <c r="I12" s="68"/>
      <c r="J12" s="13">
        <f>COUNTIF(E11:AI11,"T")</f>
        <v>1</v>
      </c>
      <c r="K12" s="67" t="s">
        <v>13</v>
      </c>
      <c r="L12" s="68"/>
      <c r="M12" s="13">
        <f>COUNTIF(E11:AI11,"A") + COUNTIF(E11:AI11,"I")</f>
        <v>2</v>
      </c>
      <c r="N12" s="67" t="s">
        <v>14</v>
      </c>
      <c r="O12" s="68"/>
      <c r="P12" s="13">
        <f>IF((G12+J12+M12)=0,0,(G12+J12)/(G12+J12+M12)*100)</f>
        <v>93.548387096774192</v>
      </c>
      <c r="Q12" s="67"/>
      <c r="R12" s="68"/>
      <c r="S12" s="13"/>
      <c r="T12" s="67"/>
      <c r="U12" s="68"/>
      <c r="V12" s="14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6"/>
    </row>
    <row r="13" spans="1:36" s="10" customFormat="1" ht="22" customHeight="1" x14ac:dyDescent="0.25">
      <c r="A13" s="9"/>
      <c r="B13" s="72" t="s">
        <v>26</v>
      </c>
      <c r="C13" s="72"/>
      <c r="D13" s="72"/>
      <c r="E13" s="16" t="s">
        <v>8</v>
      </c>
      <c r="F13" s="16" t="s">
        <v>8</v>
      </c>
      <c r="G13" s="17" t="s">
        <v>8</v>
      </c>
      <c r="H13" s="17" t="s">
        <v>8</v>
      </c>
      <c r="I13" s="17" t="s">
        <v>8</v>
      </c>
      <c r="J13" s="17" t="s">
        <v>0</v>
      </c>
      <c r="K13" s="17" t="s">
        <v>8</v>
      </c>
      <c r="L13" s="19" t="s">
        <v>8</v>
      </c>
      <c r="M13" s="19" t="s">
        <v>8</v>
      </c>
      <c r="N13" s="18" t="s">
        <v>8</v>
      </c>
      <c r="O13" s="18" t="s">
        <v>8</v>
      </c>
      <c r="P13" s="18" t="s">
        <v>9</v>
      </c>
      <c r="Q13" s="18" t="s">
        <v>8</v>
      </c>
      <c r="R13" s="18" t="s">
        <v>8</v>
      </c>
      <c r="S13" s="18" t="s">
        <v>8</v>
      </c>
      <c r="T13" s="18" t="s">
        <v>0</v>
      </c>
      <c r="U13" s="18" t="s">
        <v>9</v>
      </c>
      <c r="V13" s="18" t="s">
        <v>8</v>
      </c>
      <c r="W13" s="18" t="s">
        <v>8</v>
      </c>
      <c r="X13" s="18" t="s">
        <v>0</v>
      </c>
      <c r="Y13" s="18" t="s">
        <v>9</v>
      </c>
      <c r="Z13" s="18" t="s">
        <v>8</v>
      </c>
      <c r="AA13" s="18" t="s">
        <v>8</v>
      </c>
      <c r="AB13" s="18" t="s">
        <v>8</v>
      </c>
      <c r="AC13" s="18" t="s">
        <v>8</v>
      </c>
      <c r="AD13" s="18" t="s">
        <v>8</v>
      </c>
      <c r="AE13" s="18" t="s">
        <v>8</v>
      </c>
      <c r="AF13" s="18" t="s">
        <v>8</v>
      </c>
      <c r="AG13" s="18" t="s">
        <v>8</v>
      </c>
      <c r="AH13" s="18" t="s">
        <v>0</v>
      </c>
      <c r="AI13" s="18" t="s">
        <v>8</v>
      </c>
      <c r="AJ13" s="9"/>
    </row>
    <row r="14" spans="1:36" s="8" customFormat="1" ht="22" customHeight="1" thickBot="1" x14ac:dyDescent="0.3">
      <c r="A14" s="6"/>
      <c r="B14" s="65" t="s">
        <v>18</v>
      </c>
      <c r="C14" s="66"/>
      <c r="D14" s="7" t="s">
        <v>17</v>
      </c>
      <c r="E14" s="67" t="s">
        <v>11</v>
      </c>
      <c r="F14" s="68"/>
      <c r="G14" s="13">
        <f>COUNTIF(E13:AI13,"H")</f>
        <v>24</v>
      </c>
      <c r="H14" s="67" t="s">
        <v>12</v>
      </c>
      <c r="I14" s="68"/>
      <c r="J14" s="13">
        <f>COUNTIF(E13:AI13,"T")</f>
        <v>3</v>
      </c>
      <c r="K14" s="67" t="s">
        <v>13</v>
      </c>
      <c r="L14" s="68"/>
      <c r="M14" s="13">
        <f>COUNTIF(E13:AI13,"A") + COUNTIF(E13:AI13,"I")</f>
        <v>4</v>
      </c>
      <c r="N14" s="67" t="s">
        <v>14</v>
      </c>
      <c r="O14" s="68"/>
      <c r="P14" s="13">
        <f>IF((G14+J14+M14)=0,0,(G14+J14)/(G14+J14+M14)*100)</f>
        <v>87.096774193548384</v>
      </c>
      <c r="Q14" s="67"/>
      <c r="R14" s="68"/>
      <c r="S14" s="13"/>
      <c r="T14" s="67"/>
      <c r="U14" s="68"/>
      <c r="V14" s="14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6"/>
    </row>
    <row r="15" spans="1:36" s="10" customFormat="1" ht="22" customHeight="1" x14ac:dyDescent="0.25">
      <c r="A15" s="9"/>
      <c r="B15" s="72" t="s">
        <v>27</v>
      </c>
      <c r="C15" s="72"/>
      <c r="D15" s="72"/>
      <c r="E15" s="16" t="s">
        <v>8</v>
      </c>
      <c r="F15" s="16" t="s">
        <v>0</v>
      </c>
      <c r="G15" s="17" t="s">
        <v>8</v>
      </c>
      <c r="H15" s="17" t="s">
        <v>8</v>
      </c>
      <c r="I15" s="17" t="s">
        <v>8</v>
      </c>
      <c r="J15" s="17" t="s">
        <v>8</v>
      </c>
      <c r="K15" s="17" t="s">
        <v>8</v>
      </c>
      <c r="L15" s="19" t="s">
        <v>8</v>
      </c>
      <c r="M15" s="19" t="s">
        <v>9</v>
      </c>
      <c r="N15" s="18" t="s">
        <v>9</v>
      </c>
      <c r="O15" s="18" t="s">
        <v>8</v>
      </c>
      <c r="P15" s="18" t="s">
        <v>9</v>
      </c>
      <c r="Q15" s="18" t="s">
        <v>8</v>
      </c>
      <c r="R15" s="18" t="s">
        <v>8</v>
      </c>
      <c r="S15" s="18" t="s">
        <v>8</v>
      </c>
      <c r="T15" s="18" t="s">
        <v>8</v>
      </c>
      <c r="U15" s="18" t="s">
        <v>9</v>
      </c>
      <c r="V15" s="18" t="s">
        <v>8</v>
      </c>
      <c r="W15" s="18" t="s">
        <v>8</v>
      </c>
      <c r="X15" s="18" t="s">
        <v>8</v>
      </c>
      <c r="Y15" s="18" t="s">
        <v>9</v>
      </c>
      <c r="Z15" s="18" t="s">
        <v>0</v>
      </c>
      <c r="AA15" s="18" t="s">
        <v>0</v>
      </c>
      <c r="AB15" s="18" t="s">
        <v>8</v>
      </c>
      <c r="AC15" s="18" t="s">
        <v>8</v>
      </c>
      <c r="AD15" s="18" t="s">
        <v>8</v>
      </c>
      <c r="AE15" s="18" t="s">
        <v>8</v>
      </c>
      <c r="AF15" s="18" t="s">
        <v>8</v>
      </c>
      <c r="AG15" s="18" t="s">
        <v>8</v>
      </c>
      <c r="AH15" s="18" t="s">
        <v>0</v>
      </c>
      <c r="AI15" s="18" t="s">
        <v>8</v>
      </c>
      <c r="AJ15" s="9"/>
    </row>
    <row r="16" spans="1:36" s="8" customFormat="1" ht="22" customHeight="1" thickBot="1" x14ac:dyDescent="0.3">
      <c r="A16" s="6"/>
      <c r="B16" s="65" t="s">
        <v>18</v>
      </c>
      <c r="C16" s="66"/>
      <c r="D16" s="7" t="s">
        <v>17</v>
      </c>
      <c r="E16" s="67" t="s">
        <v>11</v>
      </c>
      <c r="F16" s="68"/>
      <c r="G16" s="13">
        <f>COUNTIF(E15:AI15,"H")</f>
        <v>22</v>
      </c>
      <c r="H16" s="67" t="s">
        <v>12</v>
      </c>
      <c r="I16" s="68"/>
      <c r="J16" s="13">
        <f>COUNTIF(E15:AI15,"T")</f>
        <v>5</v>
      </c>
      <c r="K16" s="67" t="s">
        <v>13</v>
      </c>
      <c r="L16" s="68"/>
      <c r="M16" s="13">
        <f>COUNTIF(E15:AI15,"A") + COUNTIF(E15:AI15,"I")</f>
        <v>4</v>
      </c>
      <c r="N16" s="67" t="s">
        <v>14</v>
      </c>
      <c r="O16" s="68"/>
      <c r="P16" s="13">
        <f>IF((G16+J16+M16)=0,0,(G16+J16)/(G16+J16+M16)*100)</f>
        <v>87.096774193548384</v>
      </c>
      <c r="Q16" s="67"/>
      <c r="R16" s="68"/>
      <c r="S16" s="13"/>
      <c r="T16" s="67"/>
      <c r="U16" s="68"/>
      <c r="V16" s="14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6"/>
    </row>
    <row r="17" spans="1:36" s="10" customFormat="1" ht="22" customHeight="1" x14ac:dyDescent="0.25">
      <c r="A17" s="9"/>
      <c r="B17" s="72" t="s">
        <v>28</v>
      </c>
      <c r="C17" s="72"/>
      <c r="D17" s="72"/>
      <c r="E17" s="16" t="s">
        <v>8</v>
      </c>
      <c r="F17" s="16" t="s">
        <v>0</v>
      </c>
      <c r="G17" s="17" t="s">
        <v>8</v>
      </c>
      <c r="H17" s="17" t="s">
        <v>8</v>
      </c>
      <c r="I17" s="17" t="s">
        <v>8</v>
      </c>
      <c r="J17" s="17" t="s">
        <v>8</v>
      </c>
      <c r="K17" s="17" t="s">
        <v>8</v>
      </c>
      <c r="L17" s="19" t="s">
        <v>8</v>
      </c>
      <c r="M17" s="19" t="s">
        <v>9</v>
      </c>
      <c r="N17" s="18" t="s">
        <v>9</v>
      </c>
      <c r="O17" s="18" t="s">
        <v>8</v>
      </c>
      <c r="P17" s="18" t="s">
        <v>9</v>
      </c>
      <c r="Q17" s="18" t="s">
        <v>8</v>
      </c>
      <c r="R17" s="18" t="s">
        <v>8</v>
      </c>
      <c r="S17" s="18" t="s">
        <v>8</v>
      </c>
      <c r="T17" s="18" t="s">
        <v>8</v>
      </c>
      <c r="U17" s="18" t="s">
        <v>9</v>
      </c>
      <c r="V17" s="18" t="s">
        <v>8</v>
      </c>
      <c r="W17" s="18" t="s">
        <v>8</v>
      </c>
      <c r="X17" s="18" t="s">
        <v>8</v>
      </c>
      <c r="Y17" s="18" t="s">
        <v>9</v>
      </c>
      <c r="Z17" s="18" t="s">
        <v>0</v>
      </c>
      <c r="AA17" s="18" t="s">
        <v>0</v>
      </c>
      <c r="AB17" s="18" t="s">
        <v>8</v>
      </c>
      <c r="AC17" s="18" t="s">
        <v>8</v>
      </c>
      <c r="AD17" s="18" t="s">
        <v>8</v>
      </c>
      <c r="AE17" s="18" t="s">
        <v>8</v>
      </c>
      <c r="AF17" s="18" t="s">
        <v>8</v>
      </c>
      <c r="AG17" s="18" t="s">
        <v>8</v>
      </c>
      <c r="AH17" s="18" t="s">
        <v>0</v>
      </c>
      <c r="AI17" s="18" t="s">
        <v>8</v>
      </c>
      <c r="AJ17" s="9"/>
    </row>
    <row r="18" spans="1:36" s="8" customFormat="1" ht="22" customHeight="1" thickBot="1" x14ac:dyDescent="0.3">
      <c r="A18" s="6"/>
      <c r="B18" s="65" t="s">
        <v>18</v>
      </c>
      <c r="C18" s="66"/>
      <c r="D18" s="7" t="s">
        <v>17</v>
      </c>
      <c r="E18" s="67" t="s">
        <v>11</v>
      </c>
      <c r="F18" s="68"/>
      <c r="G18" s="13">
        <f>COUNTIF(E17:AI17,"H")</f>
        <v>22</v>
      </c>
      <c r="H18" s="67" t="s">
        <v>12</v>
      </c>
      <c r="I18" s="68"/>
      <c r="J18" s="13">
        <f>COUNTIF(E17:AI17,"T")</f>
        <v>5</v>
      </c>
      <c r="K18" s="67" t="s">
        <v>13</v>
      </c>
      <c r="L18" s="68"/>
      <c r="M18" s="13">
        <f>COUNTIF(E17:AI17,"A") + COUNTIF(E17:AI17,"I")</f>
        <v>4</v>
      </c>
      <c r="N18" s="67" t="s">
        <v>14</v>
      </c>
      <c r="O18" s="68"/>
      <c r="P18" s="13">
        <f>IF((G18+J18+M18)=0,0,(G18+J18)/(G18+J18+M18)*100)</f>
        <v>87.096774193548384</v>
      </c>
      <c r="Q18" s="67"/>
      <c r="R18" s="68"/>
      <c r="S18" s="13"/>
      <c r="T18" s="67"/>
      <c r="U18" s="68"/>
      <c r="V18" s="14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6"/>
    </row>
    <row r="19" spans="1:36" s="10" customFormat="1" ht="22" customHeight="1" x14ac:dyDescent="0.25">
      <c r="A19" s="9"/>
      <c r="B19" s="72" t="s">
        <v>29</v>
      </c>
      <c r="C19" s="72"/>
      <c r="D19" s="72"/>
      <c r="E19" s="16" t="s">
        <v>8</v>
      </c>
      <c r="F19" s="16" t="s">
        <v>0</v>
      </c>
      <c r="G19" s="17" t="s">
        <v>8</v>
      </c>
      <c r="H19" s="17" t="s">
        <v>8</v>
      </c>
      <c r="I19" s="17" t="s">
        <v>8</v>
      </c>
      <c r="J19" s="17" t="s">
        <v>8</v>
      </c>
      <c r="K19" s="17" t="s">
        <v>8</v>
      </c>
      <c r="L19" s="19" t="s">
        <v>8</v>
      </c>
      <c r="M19" s="19" t="s">
        <v>9</v>
      </c>
      <c r="N19" s="18" t="s">
        <v>9</v>
      </c>
      <c r="O19" s="18" t="s">
        <v>8</v>
      </c>
      <c r="P19" s="18" t="s">
        <v>9</v>
      </c>
      <c r="Q19" s="18" t="s">
        <v>8</v>
      </c>
      <c r="R19" s="18" t="s">
        <v>8</v>
      </c>
      <c r="S19" s="18" t="s">
        <v>8</v>
      </c>
      <c r="T19" s="18" t="s">
        <v>8</v>
      </c>
      <c r="U19" s="18" t="s">
        <v>9</v>
      </c>
      <c r="V19" s="18" t="s">
        <v>8</v>
      </c>
      <c r="W19" s="18" t="s">
        <v>8</v>
      </c>
      <c r="X19" s="18" t="s">
        <v>8</v>
      </c>
      <c r="Y19" s="18" t="s">
        <v>9</v>
      </c>
      <c r="Z19" s="18" t="s">
        <v>0</v>
      </c>
      <c r="AA19" s="18" t="s">
        <v>0</v>
      </c>
      <c r="AB19" s="18" t="s">
        <v>8</v>
      </c>
      <c r="AC19" s="18" t="s">
        <v>8</v>
      </c>
      <c r="AD19" s="18" t="s">
        <v>8</v>
      </c>
      <c r="AE19" s="18" t="s">
        <v>8</v>
      </c>
      <c r="AF19" s="18" t="s">
        <v>8</v>
      </c>
      <c r="AG19" s="18" t="s">
        <v>8</v>
      </c>
      <c r="AH19" s="18" t="s">
        <v>0</v>
      </c>
      <c r="AI19" s="18" t="s">
        <v>8</v>
      </c>
      <c r="AJ19" s="9"/>
    </row>
    <row r="20" spans="1:36" s="8" customFormat="1" ht="22" customHeight="1" thickBot="1" x14ac:dyDescent="0.3">
      <c r="A20" s="6"/>
      <c r="B20" s="65" t="s">
        <v>18</v>
      </c>
      <c r="C20" s="66"/>
      <c r="D20" s="7" t="s">
        <v>17</v>
      </c>
      <c r="E20" s="67" t="s">
        <v>11</v>
      </c>
      <c r="F20" s="68"/>
      <c r="G20" s="13">
        <f>COUNTIF(E19:AI19,"H")</f>
        <v>22</v>
      </c>
      <c r="H20" s="67" t="s">
        <v>12</v>
      </c>
      <c r="I20" s="68"/>
      <c r="J20" s="13">
        <f>COUNTIF(E19:AI19,"T")</f>
        <v>5</v>
      </c>
      <c r="K20" s="67" t="s">
        <v>13</v>
      </c>
      <c r="L20" s="68"/>
      <c r="M20" s="13">
        <f>COUNTIF(E19:AI19,"A") + COUNTIF(E19:AI19,"I")</f>
        <v>4</v>
      </c>
      <c r="N20" s="67" t="s">
        <v>14</v>
      </c>
      <c r="O20" s="68"/>
      <c r="P20" s="13">
        <f>IF((G20+J20+M20)=0,0,(G20+J20)/(G20+J20+M20)*100)</f>
        <v>87.096774193548384</v>
      </c>
      <c r="Q20" s="67"/>
      <c r="R20" s="68"/>
      <c r="S20" s="13"/>
      <c r="T20" s="67"/>
      <c r="U20" s="68"/>
      <c r="V20" s="14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6"/>
    </row>
    <row r="21" spans="1:36" ht="22" customHeight="1" x14ac:dyDescent="0.35">
      <c r="A21" s="2"/>
      <c r="B21" s="72" t="s">
        <v>30</v>
      </c>
      <c r="C21" s="72"/>
      <c r="D21" s="72"/>
      <c r="E21" s="16" t="s">
        <v>8</v>
      </c>
      <c r="F21" s="16" t="s">
        <v>0</v>
      </c>
      <c r="G21" s="17" t="s">
        <v>8</v>
      </c>
      <c r="H21" s="17" t="s">
        <v>8</v>
      </c>
      <c r="I21" s="17" t="s">
        <v>8</v>
      </c>
      <c r="J21" s="17" t="s">
        <v>8</v>
      </c>
      <c r="K21" s="17" t="s">
        <v>8</v>
      </c>
      <c r="L21" s="19" t="s">
        <v>8</v>
      </c>
      <c r="M21" s="19" t="s">
        <v>9</v>
      </c>
      <c r="N21" s="18" t="s">
        <v>9</v>
      </c>
      <c r="O21" s="18" t="s">
        <v>8</v>
      </c>
      <c r="P21" s="18" t="s">
        <v>9</v>
      </c>
      <c r="Q21" s="18" t="s">
        <v>8</v>
      </c>
      <c r="R21" s="18" t="s">
        <v>8</v>
      </c>
      <c r="S21" s="18" t="s">
        <v>8</v>
      </c>
      <c r="T21" s="18" t="s">
        <v>8</v>
      </c>
      <c r="U21" s="18" t="s">
        <v>9</v>
      </c>
      <c r="V21" s="18" t="s">
        <v>8</v>
      </c>
      <c r="W21" s="18" t="s">
        <v>8</v>
      </c>
      <c r="X21" s="18" t="s">
        <v>8</v>
      </c>
      <c r="Y21" s="18" t="s">
        <v>9</v>
      </c>
      <c r="Z21" s="18" t="s">
        <v>0</v>
      </c>
      <c r="AA21" s="18" t="s">
        <v>0</v>
      </c>
      <c r="AB21" s="18" t="s">
        <v>8</v>
      </c>
      <c r="AC21" s="18" t="s">
        <v>8</v>
      </c>
      <c r="AD21" s="18" t="s">
        <v>8</v>
      </c>
      <c r="AE21" s="18" t="s">
        <v>8</v>
      </c>
      <c r="AF21" s="18" t="s">
        <v>8</v>
      </c>
      <c r="AG21" s="18" t="s">
        <v>8</v>
      </c>
      <c r="AH21" s="18" t="s">
        <v>0</v>
      </c>
      <c r="AI21" s="18" t="s">
        <v>8</v>
      </c>
      <c r="AJ21" s="2"/>
    </row>
    <row r="22" spans="1:36" s="8" customFormat="1" ht="22" customHeight="1" thickBot="1" x14ac:dyDescent="0.3">
      <c r="A22" s="6"/>
      <c r="B22" s="65" t="s">
        <v>18</v>
      </c>
      <c r="C22" s="66"/>
      <c r="D22" s="7" t="s">
        <v>17</v>
      </c>
      <c r="E22" s="67" t="s">
        <v>11</v>
      </c>
      <c r="F22" s="68"/>
      <c r="G22" s="13">
        <f>COUNTIF(E21:AI21,"H")</f>
        <v>22</v>
      </c>
      <c r="H22" s="67" t="s">
        <v>12</v>
      </c>
      <c r="I22" s="68"/>
      <c r="J22" s="13">
        <f>COUNTIF(E21:AI21,"T")</f>
        <v>5</v>
      </c>
      <c r="K22" s="67" t="s">
        <v>13</v>
      </c>
      <c r="L22" s="68"/>
      <c r="M22" s="13">
        <f>COUNTIF(E21:AI21,"A") + COUNTIF(E21:AI21,"I")</f>
        <v>4</v>
      </c>
      <c r="N22" s="67" t="s">
        <v>14</v>
      </c>
      <c r="O22" s="68"/>
      <c r="P22" s="13">
        <f>IF((G22+J22+M22)=0,0,(G22+J22)/(G22+J22+M22)*100)</f>
        <v>87.096774193548384</v>
      </c>
      <c r="Q22" s="67"/>
      <c r="R22" s="68"/>
      <c r="S22" s="13"/>
      <c r="T22" s="67"/>
      <c r="U22" s="68"/>
      <c r="V22" s="14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6"/>
    </row>
    <row r="23" spans="1:36" ht="22" customHeight="1" x14ac:dyDescent="0.35">
      <c r="A23" s="2"/>
      <c r="B23" s="72" t="s">
        <v>31</v>
      </c>
      <c r="C23" s="72"/>
      <c r="D23" s="72"/>
      <c r="E23" s="16" t="s">
        <v>8</v>
      </c>
      <c r="F23" s="16" t="s">
        <v>0</v>
      </c>
      <c r="G23" s="17" t="s">
        <v>8</v>
      </c>
      <c r="H23" s="17" t="s">
        <v>8</v>
      </c>
      <c r="I23" s="17" t="s">
        <v>8</v>
      </c>
      <c r="J23" s="17" t="s">
        <v>8</v>
      </c>
      <c r="K23" s="17" t="s">
        <v>8</v>
      </c>
      <c r="L23" s="19" t="s">
        <v>8</v>
      </c>
      <c r="M23" s="19" t="s">
        <v>9</v>
      </c>
      <c r="N23" s="18" t="s">
        <v>9</v>
      </c>
      <c r="O23" s="18" t="s">
        <v>8</v>
      </c>
      <c r="P23" s="18" t="s">
        <v>9</v>
      </c>
      <c r="Q23" s="18" t="s">
        <v>8</v>
      </c>
      <c r="R23" s="18" t="s">
        <v>8</v>
      </c>
      <c r="S23" s="18" t="s">
        <v>8</v>
      </c>
      <c r="T23" s="18" t="s">
        <v>8</v>
      </c>
      <c r="U23" s="18" t="s">
        <v>9</v>
      </c>
      <c r="V23" s="18" t="s">
        <v>8</v>
      </c>
      <c r="W23" s="18" t="s">
        <v>8</v>
      </c>
      <c r="X23" s="18" t="s">
        <v>8</v>
      </c>
      <c r="Y23" s="18" t="s">
        <v>9</v>
      </c>
      <c r="Z23" s="18" t="s">
        <v>0</v>
      </c>
      <c r="AA23" s="18" t="s">
        <v>0</v>
      </c>
      <c r="AB23" s="18" t="s">
        <v>8</v>
      </c>
      <c r="AC23" s="18" t="s">
        <v>8</v>
      </c>
      <c r="AD23" s="18" t="s">
        <v>8</v>
      </c>
      <c r="AE23" s="18" t="s">
        <v>8</v>
      </c>
      <c r="AF23" s="18" t="s">
        <v>8</v>
      </c>
      <c r="AG23" s="18" t="s">
        <v>8</v>
      </c>
      <c r="AH23" s="18" t="s">
        <v>0</v>
      </c>
      <c r="AI23" s="18" t="s">
        <v>8</v>
      </c>
      <c r="AJ23" s="2"/>
    </row>
    <row r="24" spans="1:36" s="8" customFormat="1" ht="22" customHeight="1" thickBot="1" x14ac:dyDescent="0.3">
      <c r="A24" s="6"/>
      <c r="B24" s="65" t="s">
        <v>18</v>
      </c>
      <c r="C24" s="66"/>
      <c r="D24" s="7" t="s">
        <v>17</v>
      </c>
      <c r="E24" s="67" t="s">
        <v>11</v>
      </c>
      <c r="F24" s="68"/>
      <c r="G24" s="13">
        <f>COUNTIF(E23:AI23,"H")</f>
        <v>22</v>
      </c>
      <c r="H24" s="67" t="s">
        <v>12</v>
      </c>
      <c r="I24" s="68"/>
      <c r="J24" s="13">
        <f>COUNTIF(E23:AI23,"T")</f>
        <v>5</v>
      </c>
      <c r="K24" s="67" t="s">
        <v>13</v>
      </c>
      <c r="L24" s="68"/>
      <c r="M24" s="13">
        <f>COUNTIF(E23:AI23,"A") + COUNTIF(E23:AI23,"I")</f>
        <v>4</v>
      </c>
      <c r="N24" s="67" t="s">
        <v>14</v>
      </c>
      <c r="O24" s="68"/>
      <c r="P24" s="13">
        <f>IF((G24+J24+M24)=0,0,(G24+J24)/(G24+J24+M24)*100)</f>
        <v>87.096774193548384</v>
      </c>
      <c r="Q24" s="67"/>
      <c r="R24" s="68"/>
      <c r="S24" s="13"/>
      <c r="T24" s="67"/>
      <c r="U24" s="68"/>
      <c r="V24" s="14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6"/>
    </row>
    <row r="25" spans="1:36" s="10" customFormat="1" ht="22" customHeight="1" x14ac:dyDescent="0.25">
      <c r="A25" s="9"/>
      <c r="B25" s="72" t="s">
        <v>32</v>
      </c>
      <c r="C25" s="72"/>
      <c r="D25" s="72"/>
      <c r="E25" s="16" t="s">
        <v>8</v>
      </c>
      <c r="F25" s="16" t="s">
        <v>0</v>
      </c>
      <c r="G25" s="17" t="s">
        <v>8</v>
      </c>
      <c r="H25" s="17" t="s">
        <v>8</v>
      </c>
      <c r="I25" s="17" t="s">
        <v>8</v>
      </c>
      <c r="J25" s="17" t="s">
        <v>8</v>
      </c>
      <c r="K25" s="17" t="s">
        <v>8</v>
      </c>
      <c r="L25" s="19" t="s">
        <v>8</v>
      </c>
      <c r="M25" s="19" t="s">
        <v>9</v>
      </c>
      <c r="N25" s="18" t="s">
        <v>9</v>
      </c>
      <c r="O25" s="18" t="s">
        <v>8</v>
      </c>
      <c r="P25" s="18" t="s">
        <v>9</v>
      </c>
      <c r="Q25" s="18" t="s">
        <v>8</v>
      </c>
      <c r="R25" s="18" t="s">
        <v>8</v>
      </c>
      <c r="S25" s="18" t="s">
        <v>8</v>
      </c>
      <c r="T25" s="18" t="s">
        <v>8</v>
      </c>
      <c r="U25" s="18" t="s">
        <v>9</v>
      </c>
      <c r="V25" s="18" t="s">
        <v>8</v>
      </c>
      <c r="W25" s="18" t="s">
        <v>8</v>
      </c>
      <c r="X25" s="18" t="s">
        <v>8</v>
      </c>
      <c r="Y25" s="18" t="s">
        <v>9</v>
      </c>
      <c r="Z25" s="18" t="s">
        <v>0</v>
      </c>
      <c r="AA25" s="18" t="s">
        <v>0</v>
      </c>
      <c r="AB25" s="18" t="s">
        <v>8</v>
      </c>
      <c r="AC25" s="18" t="s">
        <v>8</v>
      </c>
      <c r="AD25" s="18" t="s">
        <v>8</v>
      </c>
      <c r="AE25" s="18" t="s">
        <v>8</v>
      </c>
      <c r="AF25" s="18" t="s">
        <v>8</v>
      </c>
      <c r="AG25" s="18" t="s">
        <v>8</v>
      </c>
      <c r="AH25" s="18" t="s">
        <v>0</v>
      </c>
      <c r="AI25" s="18" t="s">
        <v>8</v>
      </c>
      <c r="AJ25" s="9"/>
    </row>
    <row r="26" spans="1:36" s="8" customFormat="1" ht="22" customHeight="1" thickBot="1" x14ac:dyDescent="0.3">
      <c r="A26" s="6"/>
      <c r="B26" s="65" t="s">
        <v>18</v>
      </c>
      <c r="C26" s="66"/>
      <c r="D26" s="7" t="s">
        <v>17</v>
      </c>
      <c r="E26" s="67" t="s">
        <v>11</v>
      </c>
      <c r="F26" s="68"/>
      <c r="G26" s="13">
        <f>COUNTIF(E25:AI25,"H")</f>
        <v>22</v>
      </c>
      <c r="H26" s="67" t="s">
        <v>12</v>
      </c>
      <c r="I26" s="68"/>
      <c r="J26" s="13">
        <f>COUNTIF(E25:AI25,"T")</f>
        <v>5</v>
      </c>
      <c r="K26" s="67" t="s">
        <v>13</v>
      </c>
      <c r="L26" s="68"/>
      <c r="M26" s="13">
        <f>COUNTIF(E25:AI25,"A") + COUNTIF(E25:AI25,"I")</f>
        <v>4</v>
      </c>
      <c r="N26" s="67" t="s">
        <v>14</v>
      </c>
      <c r="O26" s="68"/>
      <c r="P26" s="13">
        <f>IF((G26+J26+M26)=0,0,(G26+J26)/(G26+J26+M26)*100)</f>
        <v>87.096774193548384</v>
      </c>
      <c r="Q26" s="67"/>
      <c r="R26" s="68"/>
      <c r="S26" s="13"/>
      <c r="T26" s="67"/>
      <c r="U26" s="68"/>
      <c r="V26" s="14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6"/>
    </row>
    <row r="27" spans="1:36" ht="22" customHeight="1" x14ac:dyDescent="0.35">
      <c r="A27" s="2"/>
      <c r="B27" s="72" t="s">
        <v>33</v>
      </c>
      <c r="C27" s="72"/>
      <c r="D27" s="72"/>
      <c r="E27" s="16" t="s">
        <v>8</v>
      </c>
      <c r="F27" s="16" t="s">
        <v>0</v>
      </c>
      <c r="G27" s="17" t="s">
        <v>8</v>
      </c>
      <c r="H27" s="17" t="s">
        <v>8</v>
      </c>
      <c r="I27" s="17" t="s">
        <v>8</v>
      </c>
      <c r="J27" s="17" t="s">
        <v>8</v>
      </c>
      <c r="K27" s="17" t="s">
        <v>8</v>
      </c>
      <c r="L27" s="19" t="s">
        <v>8</v>
      </c>
      <c r="M27" s="19" t="s">
        <v>9</v>
      </c>
      <c r="N27" s="18" t="s">
        <v>9</v>
      </c>
      <c r="O27" s="18" t="s">
        <v>8</v>
      </c>
      <c r="P27" s="18" t="s">
        <v>9</v>
      </c>
      <c r="Q27" s="18" t="s">
        <v>8</v>
      </c>
      <c r="R27" s="18" t="s">
        <v>8</v>
      </c>
      <c r="S27" s="18" t="s">
        <v>8</v>
      </c>
      <c r="T27" s="18" t="s">
        <v>8</v>
      </c>
      <c r="U27" s="18" t="s">
        <v>9</v>
      </c>
      <c r="V27" s="18" t="s">
        <v>8</v>
      </c>
      <c r="W27" s="18" t="s">
        <v>8</v>
      </c>
      <c r="X27" s="18" t="s">
        <v>8</v>
      </c>
      <c r="Y27" s="18" t="s">
        <v>9</v>
      </c>
      <c r="Z27" s="18" t="s">
        <v>0</v>
      </c>
      <c r="AA27" s="18" t="s">
        <v>0</v>
      </c>
      <c r="AB27" s="18" t="s">
        <v>8</v>
      </c>
      <c r="AC27" s="18" t="s">
        <v>8</v>
      </c>
      <c r="AD27" s="18" t="s">
        <v>8</v>
      </c>
      <c r="AE27" s="18" t="s">
        <v>8</v>
      </c>
      <c r="AF27" s="18" t="s">
        <v>8</v>
      </c>
      <c r="AG27" s="18" t="s">
        <v>8</v>
      </c>
      <c r="AH27" s="18" t="s">
        <v>0</v>
      </c>
      <c r="AI27" s="18" t="s">
        <v>8</v>
      </c>
      <c r="AJ27" s="2"/>
    </row>
    <row r="28" spans="1:36" s="8" customFormat="1" ht="22" customHeight="1" thickBot="1" x14ac:dyDescent="0.3">
      <c r="A28" s="6"/>
      <c r="B28" s="65" t="s">
        <v>18</v>
      </c>
      <c r="C28" s="66"/>
      <c r="D28" s="7" t="s">
        <v>17</v>
      </c>
      <c r="E28" s="67" t="s">
        <v>11</v>
      </c>
      <c r="F28" s="68"/>
      <c r="G28" s="13">
        <f>COUNTIF(E27:AI27,"H")</f>
        <v>22</v>
      </c>
      <c r="H28" s="67" t="s">
        <v>12</v>
      </c>
      <c r="I28" s="68"/>
      <c r="J28" s="13">
        <f>COUNTIF(E27:AI27,"T")</f>
        <v>5</v>
      </c>
      <c r="K28" s="67" t="s">
        <v>13</v>
      </c>
      <c r="L28" s="68"/>
      <c r="M28" s="13">
        <f>COUNTIF(E27:AI27,"A") + COUNTIF(E27:AI27,"I")</f>
        <v>4</v>
      </c>
      <c r="N28" s="67" t="s">
        <v>14</v>
      </c>
      <c r="O28" s="68"/>
      <c r="P28" s="13">
        <f>IF((G28+J28+M28)=0,0,(G28+J28)/(G28+J28+M28)*100)</f>
        <v>87.096774193548384</v>
      </c>
      <c r="Q28" s="67"/>
      <c r="R28" s="68"/>
      <c r="S28" s="13"/>
      <c r="T28" s="67"/>
      <c r="U28" s="68"/>
      <c r="V28" s="14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6"/>
    </row>
    <row r="29" spans="1:36" s="10" customFormat="1" ht="22" customHeight="1" x14ac:dyDescent="0.25">
      <c r="A29" s="9"/>
      <c r="B29" s="72" t="s">
        <v>34</v>
      </c>
      <c r="C29" s="72"/>
      <c r="D29" s="72"/>
      <c r="E29" s="16" t="s">
        <v>8</v>
      </c>
      <c r="F29" s="16" t="s">
        <v>0</v>
      </c>
      <c r="G29" s="17" t="s">
        <v>8</v>
      </c>
      <c r="H29" s="17" t="s">
        <v>8</v>
      </c>
      <c r="I29" s="17" t="s">
        <v>8</v>
      </c>
      <c r="J29" s="17" t="s">
        <v>8</v>
      </c>
      <c r="K29" s="17" t="s">
        <v>8</v>
      </c>
      <c r="L29" s="19" t="s">
        <v>8</v>
      </c>
      <c r="M29" s="19" t="s">
        <v>9</v>
      </c>
      <c r="N29" s="18" t="s">
        <v>9</v>
      </c>
      <c r="O29" s="18" t="s">
        <v>8</v>
      </c>
      <c r="P29" s="18" t="s">
        <v>9</v>
      </c>
      <c r="Q29" s="18" t="s">
        <v>8</v>
      </c>
      <c r="R29" s="18" t="s">
        <v>8</v>
      </c>
      <c r="S29" s="18" t="s">
        <v>8</v>
      </c>
      <c r="T29" s="18" t="s">
        <v>8</v>
      </c>
      <c r="U29" s="18" t="s">
        <v>9</v>
      </c>
      <c r="V29" s="18" t="s">
        <v>8</v>
      </c>
      <c r="W29" s="18" t="s">
        <v>8</v>
      </c>
      <c r="X29" s="18" t="s">
        <v>8</v>
      </c>
      <c r="Y29" s="18" t="s">
        <v>9</v>
      </c>
      <c r="Z29" s="18" t="s">
        <v>0</v>
      </c>
      <c r="AA29" s="18" t="s">
        <v>0</v>
      </c>
      <c r="AB29" s="18" t="s">
        <v>8</v>
      </c>
      <c r="AC29" s="18" t="s">
        <v>8</v>
      </c>
      <c r="AD29" s="18" t="s">
        <v>8</v>
      </c>
      <c r="AE29" s="18" t="s">
        <v>8</v>
      </c>
      <c r="AF29" s="18" t="s">
        <v>8</v>
      </c>
      <c r="AG29" s="18" t="s">
        <v>8</v>
      </c>
      <c r="AH29" s="18" t="s">
        <v>0</v>
      </c>
      <c r="AI29" s="18" t="s">
        <v>8</v>
      </c>
      <c r="AJ29" s="9"/>
    </row>
    <row r="30" spans="1:36" s="8" customFormat="1" ht="22" customHeight="1" thickBot="1" x14ac:dyDescent="0.3">
      <c r="A30" s="6"/>
      <c r="B30" s="65" t="s">
        <v>18</v>
      </c>
      <c r="C30" s="66"/>
      <c r="D30" s="7" t="s">
        <v>17</v>
      </c>
      <c r="E30" s="67" t="s">
        <v>11</v>
      </c>
      <c r="F30" s="68"/>
      <c r="G30" s="13">
        <f>COUNTIF(E29:AI29,"H")</f>
        <v>22</v>
      </c>
      <c r="H30" s="67" t="s">
        <v>12</v>
      </c>
      <c r="I30" s="68"/>
      <c r="J30" s="13">
        <f>COUNTIF(E29:AI29,"T")</f>
        <v>5</v>
      </c>
      <c r="K30" s="67" t="s">
        <v>13</v>
      </c>
      <c r="L30" s="68"/>
      <c r="M30" s="13">
        <f>COUNTIF(E29:AI29,"A") + COUNTIF(E29:AI29,"I")</f>
        <v>4</v>
      </c>
      <c r="N30" s="67" t="s">
        <v>14</v>
      </c>
      <c r="O30" s="68"/>
      <c r="P30" s="13">
        <f>IF((G30+J30+M30)=0,0,(G30+J30)/(G30+J30+M30)*100)</f>
        <v>87.096774193548384</v>
      </c>
      <c r="Q30" s="67"/>
      <c r="R30" s="68"/>
      <c r="S30" s="13"/>
      <c r="T30" s="67"/>
      <c r="U30" s="68"/>
      <c r="V30" s="14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6"/>
    </row>
    <row r="31" spans="1:36" ht="22" customHeight="1" x14ac:dyDescent="0.35">
      <c r="A31" s="2"/>
      <c r="B31" s="72" t="s">
        <v>35</v>
      </c>
      <c r="C31" s="72"/>
      <c r="D31" s="72"/>
      <c r="E31" s="16" t="s">
        <v>8</v>
      </c>
      <c r="F31" s="16" t="s">
        <v>0</v>
      </c>
      <c r="G31" s="17" t="s">
        <v>8</v>
      </c>
      <c r="H31" s="17" t="s">
        <v>8</v>
      </c>
      <c r="I31" s="17" t="s">
        <v>8</v>
      </c>
      <c r="J31" s="17" t="s">
        <v>8</v>
      </c>
      <c r="K31" s="17" t="s">
        <v>8</v>
      </c>
      <c r="L31" s="19" t="s">
        <v>8</v>
      </c>
      <c r="M31" s="19" t="s">
        <v>9</v>
      </c>
      <c r="N31" s="18" t="s">
        <v>9</v>
      </c>
      <c r="O31" s="18" t="s">
        <v>8</v>
      </c>
      <c r="P31" s="18" t="s">
        <v>9</v>
      </c>
      <c r="Q31" s="18" t="s">
        <v>8</v>
      </c>
      <c r="R31" s="18" t="s">
        <v>8</v>
      </c>
      <c r="S31" s="18" t="s">
        <v>8</v>
      </c>
      <c r="T31" s="18" t="s">
        <v>8</v>
      </c>
      <c r="U31" s="18" t="s">
        <v>9</v>
      </c>
      <c r="V31" s="18" t="s">
        <v>8</v>
      </c>
      <c r="W31" s="18" t="s">
        <v>8</v>
      </c>
      <c r="X31" s="18" t="s">
        <v>8</v>
      </c>
      <c r="Y31" s="18" t="s">
        <v>9</v>
      </c>
      <c r="Z31" s="18" t="s">
        <v>0</v>
      </c>
      <c r="AA31" s="18" t="s">
        <v>0</v>
      </c>
      <c r="AB31" s="18" t="s">
        <v>8</v>
      </c>
      <c r="AC31" s="18" t="s">
        <v>8</v>
      </c>
      <c r="AD31" s="18" t="s">
        <v>8</v>
      </c>
      <c r="AE31" s="18" t="s">
        <v>8</v>
      </c>
      <c r="AF31" s="18" t="s">
        <v>8</v>
      </c>
      <c r="AG31" s="18" t="s">
        <v>8</v>
      </c>
      <c r="AH31" s="18" t="s">
        <v>0</v>
      </c>
      <c r="AI31" s="18" t="s">
        <v>8</v>
      </c>
      <c r="AJ31" s="2"/>
    </row>
    <row r="32" spans="1:36" s="8" customFormat="1" ht="22" customHeight="1" thickBot="1" x14ac:dyDescent="0.3">
      <c r="A32" s="6"/>
      <c r="B32" s="65" t="s">
        <v>18</v>
      </c>
      <c r="C32" s="66"/>
      <c r="D32" s="7" t="s">
        <v>17</v>
      </c>
      <c r="E32" s="67" t="s">
        <v>11</v>
      </c>
      <c r="F32" s="68"/>
      <c r="G32" s="13">
        <f>COUNTIF(E31:AI31,"H")</f>
        <v>22</v>
      </c>
      <c r="H32" s="67" t="s">
        <v>12</v>
      </c>
      <c r="I32" s="68"/>
      <c r="J32" s="13">
        <f>COUNTIF(E31:AI31,"T")</f>
        <v>5</v>
      </c>
      <c r="K32" s="67" t="s">
        <v>13</v>
      </c>
      <c r="L32" s="68"/>
      <c r="M32" s="13">
        <f>COUNTIF(E31:AI31,"A") + COUNTIF(E31:AI31,"I")</f>
        <v>4</v>
      </c>
      <c r="N32" s="67" t="s">
        <v>14</v>
      </c>
      <c r="O32" s="68"/>
      <c r="P32" s="13">
        <f>IF((G32+J32+M32)=0,0,(G32+J32)/(G32+J32+M32)*100)</f>
        <v>87.096774193548384</v>
      </c>
      <c r="Q32" s="67"/>
      <c r="R32" s="68"/>
      <c r="S32" s="13"/>
      <c r="T32" s="67"/>
      <c r="U32" s="68"/>
      <c r="V32" s="14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6"/>
    </row>
    <row r="33" spans="1:36" ht="22" customHeight="1" x14ac:dyDescent="0.35">
      <c r="A33" s="2"/>
      <c r="B33" s="72" t="s">
        <v>36</v>
      </c>
      <c r="C33" s="72"/>
      <c r="D33" s="72"/>
      <c r="E33" s="16" t="s">
        <v>8</v>
      </c>
      <c r="F33" s="16" t="s">
        <v>0</v>
      </c>
      <c r="G33" s="17" t="s">
        <v>8</v>
      </c>
      <c r="H33" s="17" t="s">
        <v>8</v>
      </c>
      <c r="I33" s="17" t="s">
        <v>8</v>
      </c>
      <c r="J33" s="17" t="s">
        <v>8</v>
      </c>
      <c r="K33" s="17" t="s">
        <v>8</v>
      </c>
      <c r="L33" s="19" t="s">
        <v>8</v>
      </c>
      <c r="M33" s="19" t="s">
        <v>9</v>
      </c>
      <c r="N33" s="18" t="s">
        <v>9</v>
      </c>
      <c r="O33" s="18" t="s">
        <v>8</v>
      </c>
      <c r="P33" s="18" t="s">
        <v>9</v>
      </c>
      <c r="Q33" s="18" t="s">
        <v>8</v>
      </c>
      <c r="R33" s="18" t="s">
        <v>8</v>
      </c>
      <c r="S33" s="18" t="s">
        <v>8</v>
      </c>
      <c r="T33" s="18" t="s">
        <v>8</v>
      </c>
      <c r="U33" s="18" t="s">
        <v>9</v>
      </c>
      <c r="V33" s="18" t="s">
        <v>8</v>
      </c>
      <c r="W33" s="18" t="s">
        <v>8</v>
      </c>
      <c r="X33" s="18" t="s">
        <v>8</v>
      </c>
      <c r="Y33" s="18" t="s">
        <v>9</v>
      </c>
      <c r="Z33" s="18" t="s">
        <v>0</v>
      </c>
      <c r="AA33" s="18" t="s">
        <v>0</v>
      </c>
      <c r="AB33" s="18" t="s">
        <v>8</v>
      </c>
      <c r="AC33" s="18" t="s">
        <v>8</v>
      </c>
      <c r="AD33" s="18" t="s">
        <v>8</v>
      </c>
      <c r="AE33" s="18" t="s">
        <v>8</v>
      </c>
      <c r="AF33" s="18" t="s">
        <v>8</v>
      </c>
      <c r="AG33" s="18" t="s">
        <v>8</v>
      </c>
      <c r="AH33" s="18" t="s">
        <v>0</v>
      </c>
      <c r="AI33" s="18" t="s">
        <v>8</v>
      </c>
      <c r="AJ33" s="2"/>
    </row>
    <row r="34" spans="1:36" s="8" customFormat="1" ht="22" customHeight="1" thickBot="1" x14ac:dyDescent="0.3">
      <c r="A34" s="6"/>
      <c r="B34" s="65" t="s">
        <v>18</v>
      </c>
      <c r="C34" s="66"/>
      <c r="D34" s="7" t="s">
        <v>17</v>
      </c>
      <c r="E34" s="67" t="s">
        <v>11</v>
      </c>
      <c r="F34" s="68"/>
      <c r="G34" s="13">
        <f>COUNTIF(E33:AI33,"H")</f>
        <v>22</v>
      </c>
      <c r="H34" s="67" t="s">
        <v>12</v>
      </c>
      <c r="I34" s="68"/>
      <c r="J34" s="13">
        <f>COUNTIF(E33:AI33,"T")</f>
        <v>5</v>
      </c>
      <c r="K34" s="67" t="s">
        <v>13</v>
      </c>
      <c r="L34" s="68"/>
      <c r="M34" s="13">
        <f>COUNTIF(E33:AI33,"A") + COUNTIF(E33:AI33,"I")</f>
        <v>4</v>
      </c>
      <c r="N34" s="67" t="s">
        <v>14</v>
      </c>
      <c r="O34" s="68"/>
      <c r="P34" s="13">
        <f>IF((G34+J34+M34)=0,0,(G34+J34)/(G34+J34+M34)*100)</f>
        <v>87.096774193548384</v>
      </c>
      <c r="Q34" s="67"/>
      <c r="R34" s="68"/>
      <c r="S34" s="13"/>
      <c r="T34" s="67"/>
      <c r="U34" s="68"/>
      <c r="V34" s="14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6"/>
    </row>
    <row r="35" spans="1:36" s="10" customFormat="1" ht="22" customHeight="1" x14ac:dyDescent="0.25">
      <c r="A35" s="9"/>
      <c r="B35" s="69" t="s">
        <v>37</v>
      </c>
      <c r="C35" s="70"/>
      <c r="D35" s="71"/>
      <c r="E35" s="16" t="s">
        <v>8</v>
      </c>
      <c r="F35" s="16" t="s">
        <v>0</v>
      </c>
      <c r="G35" s="17" t="s">
        <v>8</v>
      </c>
      <c r="H35" s="17" t="s">
        <v>8</v>
      </c>
      <c r="I35" s="17" t="s">
        <v>8</v>
      </c>
      <c r="J35" s="17" t="s">
        <v>8</v>
      </c>
      <c r="K35" s="17" t="s">
        <v>8</v>
      </c>
      <c r="L35" s="19" t="s">
        <v>8</v>
      </c>
      <c r="M35" s="19" t="s">
        <v>9</v>
      </c>
      <c r="N35" s="18" t="s">
        <v>9</v>
      </c>
      <c r="O35" s="18" t="s">
        <v>8</v>
      </c>
      <c r="P35" s="18" t="s">
        <v>9</v>
      </c>
      <c r="Q35" s="18" t="s">
        <v>8</v>
      </c>
      <c r="R35" s="18" t="s">
        <v>8</v>
      </c>
      <c r="S35" s="18" t="s">
        <v>8</v>
      </c>
      <c r="T35" s="18" t="s">
        <v>8</v>
      </c>
      <c r="U35" s="18" t="s">
        <v>9</v>
      </c>
      <c r="V35" s="18" t="s">
        <v>8</v>
      </c>
      <c r="W35" s="18" t="s">
        <v>8</v>
      </c>
      <c r="X35" s="18" t="s">
        <v>8</v>
      </c>
      <c r="Y35" s="18" t="s">
        <v>9</v>
      </c>
      <c r="Z35" s="18" t="s">
        <v>0</v>
      </c>
      <c r="AA35" s="18" t="s">
        <v>0</v>
      </c>
      <c r="AB35" s="18" t="s">
        <v>8</v>
      </c>
      <c r="AC35" s="18" t="s">
        <v>8</v>
      </c>
      <c r="AD35" s="18" t="s">
        <v>8</v>
      </c>
      <c r="AE35" s="18" t="s">
        <v>8</v>
      </c>
      <c r="AF35" s="18" t="s">
        <v>8</v>
      </c>
      <c r="AG35" s="18" t="s">
        <v>8</v>
      </c>
      <c r="AH35" s="18" t="s">
        <v>0</v>
      </c>
      <c r="AI35" s="18" t="s">
        <v>8</v>
      </c>
      <c r="AJ35" s="9"/>
    </row>
    <row r="36" spans="1:36" s="8" customFormat="1" ht="22" customHeight="1" thickBot="1" x14ac:dyDescent="0.3">
      <c r="A36" s="6"/>
      <c r="B36" s="65" t="s">
        <v>18</v>
      </c>
      <c r="C36" s="66"/>
      <c r="D36" s="7" t="s">
        <v>17</v>
      </c>
      <c r="E36" s="67" t="s">
        <v>11</v>
      </c>
      <c r="F36" s="68"/>
      <c r="G36" s="13">
        <f>COUNTIF(E35:AI35,"H")</f>
        <v>22</v>
      </c>
      <c r="H36" s="67" t="s">
        <v>12</v>
      </c>
      <c r="I36" s="68"/>
      <c r="J36" s="13">
        <f>COUNTIF(E35:AI35,"T")</f>
        <v>5</v>
      </c>
      <c r="K36" s="67" t="s">
        <v>13</v>
      </c>
      <c r="L36" s="68"/>
      <c r="M36" s="13">
        <f>COUNTIF(E35:AI35,"A") + COUNTIF(E35:AI35,"I")</f>
        <v>4</v>
      </c>
      <c r="N36" s="67" t="s">
        <v>14</v>
      </c>
      <c r="O36" s="68"/>
      <c r="P36" s="13">
        <f>IF((G36+J36+M36)=0,0,(G36+J36)/(G36+J36+M36)*100)</f>
        <v>87.096774193548384</v>
      </c>
      <c r="Q36" s="67"/>
      <c r="R36" s="68"/>
      <c r="S36" s="13"/>
      <c r="T36" s="67"/>
      <c r="U36" s="68"/>
      <c r="V36" s="14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6"/>
    </row>
    <row r="37" spans="1:36" s="10" customFormat="1" ht="22" customHeight="1" x14ac:dyDescent="0.25">
      <c r="A37" s="9"/>
      <c r="B37" s="69" t="s">
        <v>38</v>
      </c>
      <c r="C37" s="70"/>
      <c r="D37" s="71"/>
      <c r="E37" s="16" t="s">
        <v>8</v>
      </c>
      <c r="F37" s="16" t="s">
        <v>0</v>
      </c>
      <c r="G37" s="17" t="s">
        <v>8</v>
      </c>
      <c r="H37" s="17" t="s">
        <v>8</v>
      </c>
      <c r="I37" s="17" t="s">
        <v>8</v>
      </c>
      <c r="J37" s="17" t="s">
        <v>8</v>
      </c>
      <c r="K37" s="17" t="s">
        <v>8</v>
      </c>
      <c r="L37" s="19" t="s">
        <v>8</v>
      </c>
      <c r="M37" s="19" t="s">
        <v>9</v>
      </c>
      <c r="N37" s="18" t="s">
        <v>9</v>
      </c>
      <c r="O37" s="18" t="s">
        <v>8</v>
      </c>
      <c r="P37" s="18" t="s">
        <v>9</v>
      </c>
      <c r="Q37" s="18" t="s">
        <v>8</v>
      </c>
      <c r="R37" s="18" t="s">
        <v>8</v>
      </c>
      <c r="S37" s="18" t="s">
        <v>8</v>
      </c>
      <c r="T37" s="18" t="s">
        <v>8</v>
      </c>
      <c r="U37" s="18" t="s">
        <v>9</v>
      </c>
      <c r="V37" s="18" t="s">
        <v>8</v>
      </c>
      <c r="W37" s="18" t="s">
        <v>8</v>
      </c>
      <c r="X37" s="18" t="s">
        <v>8</v>
      </c>
      <c r="Y37" s="18" t="s">
        <v>9</v>
      </c>
      <c r="Z37" s="18" t="s">
        <v>0</v>
      </c>
      <c r="AA37" s="18" t="s">
        <v>0</v>
      </c>
      <c r="AB37" s="18" t="s">
        <v>8</v>
      </c>
      <c r="AC37" s="18" t="s">
        <v>8</v>
      </c>
      <c r="AD37" s="18" t="s">
        <v>8</v>
      </c>
      <c r="AE37" s="18" t="s">
        <v>8</v>
      </c>
      <c r="AF37" s="18" t="s">
        <v>8</v>
      </c>
      <c r="AG37" s="18" t="s">
        <v>8</v>
      </c>
      <c r="AH37" s="18" t="s">
        <v>0</v>
      </c>
      <c r="AI37" s="18" t="s">
        <v>8</v>
      </c>
      <c r="AJ37" s="9"/>
    </row>
    <row r="38" spans="1:36" s="8" customFormat="1" ht="22" customHeight="1" thickBot="1" x14ac:dyDescent="0.3">
      <c r="A38" s="6"/>
      <c r="B38" s="65" t="s">
        <v>18</v>
      </c>
      <c r="C38" s="66"/>
      <c r="D38" s="7" t="s">
        <v>17</v>
      </c>
      <c r="E38" s="67" t="s">
        <v>11</v>
      </c>
      <c r="F38" s="68"/>
      <c r="G38" s="13">
        <f>COUNTIF(E37:AI37,"H")</f>
        <v>22</v>
      </c>
      <c r="H38" s="67" t="s">
        <v>12</v>
      </c>
      <c r="I38" s="68"/>
      <c r="J38" s="13">
        <f>COUNTIF(E37:AI37,"T")</f>
        <v>5</v>
      </c>
      <c r="K38" s="67" t="s">
        <v>13</v>
      </c>
      <c r="L38" s="68"/>
      <c r="M38" s="13">
        <f>COUNTIF(E37:AI37,"A") + COUNTIF(E37:AI37,"I")</f>
        <v>4</v>
      </c>
      <c r="N38" s="67" t="s">
        <v>14</v>
      </c>
      <c r="O38" s="68"/>
      <c r="P38" s="13">
        <f>IF((G38+J38+M38)=0,0,(G38+J38)/(G38+J38+M38)*100)</f>
        <v>87.096774193548384</v>
      </c>
      <c r="Q38" s="67"/>
      <c r="R38" s="68"/>
      <c r="S38" s="13"/>
      <c r="T38" s="67"/>
      <c r="U38" s="68"/>
      <c r="V38" s="14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6"/>
    </row>
    <row r="39" spans="1:36" s="10" customFormat="1" ht="22" customHeight="1" x14ac:dyDescent="0.25">
      <c r="A39" s="9"/>
      <c r="B39" s="69" t="s">
        <v>39</v>
      </c>
      <c r="C39" s="70"/>
      <c r="D39" s="71"/>
      <c r="E39" s="16" t="s">
        <v>8</v>
      </c>
      <c r="F39" s="16" t="s">
        <v>0</v>
      </c>
      <c r="G39" s="17" t="s">
        <v>8</v>
      </c>
      <c r="H39" s="17" t="s">
        <v>8</v>
      </c>
      <c r="I39" s="17" t="s">
        <v>8</v>
      </c>
      <c r="J39" s="17" t="s">
        <v>8</v>
      </c>
      <c r="K39" s="17" t="s">
        <v>8</v>
      </c>
      <c r="L39" s="19" t="s">
        <v>8</v>
      </c>
      <c r="M39" s="19" t="s">
        <v>9</v>
      </c>
      <c r="N39" s="18" t="s">
        <v>9</v>
      </c>
      <c r="O39" s="18" t="s">
        <v>8</v>
      </c>
      <c r="P39" s="18" t="s">
        <v>9</v>
      </c>
      <c r="Q39" s="18" t="s">
        <v>8</v>
      </c>
      <c r="R39" s="18" t="s">
        <v>8</v>
      </c>
      <c r="S39" s="18" t="s">
        <v>8</v>
      </c>
      <c r="T39" s="18" t="s">
        <v>8</v>
      </c>
      <c r="U39" s="18" t="s">
        <v>9</v>
      </c>
      <c r="V39" s="18" t="s">
        <v>8</v>
      </c>
      <c r="W39" s="18" t="s">
        <v>8</v>
      </c>
      <c r="X39" s="18" t="s">
        <v>8</v>
      </c>
      <c r="Y39" s="18" t="s">
        <v>9</v>
      </c>
      <c r="Z39" s="18" t="s">
        <v>0</v>
      </c>
      <c r="AA39" s="18" t="s">
        <v>0</v>
      </c>
      <c r="AB39" s="18" t="s">
        <v>8</v>
      </c>
      <c r="AC39" s="18" t="s">
        <v>8</v>
      </c>
      <c r="AD39" s="18" t="s">
        <v>8</v>
      </c>
      <c r="AE39" s="18" t="s">
        <v>8</v>
      </c>
      <c r="AF39" s="18" t="s">
        <v>8</v>
      </c>
      <c r="AG39" s="18" t="s">
        <v>8</v>
      </c>
      <c r="AH39" s="18" t="s">
        <v>0</v>
      </c>
      <c r="AI39" s="18" t="s">
        <v>8</v>
      </c>
      <c r="AJ39" s="9"/>
    </row>
    <row r="40" spans="1:36" s="8" customFormat="1" ht="22" customHeight="1" thickBot="1" x14ac:dyDescent="0.3">
      <c r="A40" s="6"/>
      <c r="B40" s="65" t="s">
        <v>18</v>
      </c>
      <c r="C40" s="66"/>
      <c r="D40" s="7" t="s">
        <v>17</v>
      </c>
      <c r="E40" s="67" t="s">
        <v>11</v>
      </c>
      <c r="F40" s="68"/>
      <c r="G40" s="13">
        <f>COUNTIF(E39:AI39,"H")</f>
        <v>22</v>
      </c>
      <c r="H40" s="67" t="s">
        <v>12</v>
      </c>
      <c r="I40" s="68"/>
      <c r="J40" s="13">
        <f>COUNTIF(E39:AI39,"T")</f>
        <v>5</v>
      </c>
      <c r="K40" s="67" t="s">
        <v>13</v>
      </c>
      <c r="L40" s="68"/>
      <c r="M40" s="13">
        <f>COUNTIF(E39:AI39,"A") + COUNTIF(E39:AI39,"I")</f>
        <v>4</v>
      </c>
      <c r="N40" s="67" t="s">
        <v>14</v>
      </c>
      <c r="O40" s="68"/>
      <c r="P40" s="13">
        <f>IF((G40+J40+M40)=0,0,(G40+J40)/(G40+J40+M40)*100)</f>
        <v>87.096774193548384</v>
      </c>
      <c r="Q40" s="67"/>
      <c r="R40" s="68"/>
      <c r="S40" s="13"/>
      <c r="T40" s="67"/>
      <c r="U40" s="68"/>
      <c r="V40" s="14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6"/>
    </row>
    <row r="41" spans="1:36" s="10" customFormat="1" ht="22" customHeight="1" x14ac:dyDescent="0.25">
      <c r="A41" s="9"/>
      <c r="B41" s="69" t="s">
        <v>40</v>
      </c>
      <c r="C41" s="70"/>
      <c r="D41" s="71"/>
      <c r="E41" s="16" t="s">
        <v>8</v>
      </c>
      <c r="F41" s="16" t="s">
        <v>0</v>
      </c>
      <c r="G41" s="17" t="s">
        <v>8</v>
      </c>
      <c r="H41" s="17" t="s">
        <v>8</v>
      </c>
      <c r="I41" s="17" t="s">
        <v>8</v>
      </c>
      <c r="J41" s="17" t="s">
        <v>8</v>
      </c>
      <c r="K41" s="17" t="s">
        <v>8</v>
      </c>
      <c r="L41" s="19" t="s">
        <v>8</v>
      </c>
      <c r="M41" s="19" t="s">
        <v>9</v>
      </c>
      <c r="N41" s="18" t="s">
        <v>9</v>
      </c>
      <c r="O41" s="18" t="s">
        <v>8</v>
      </c>
      <c r="P41" s="18" t="s">
        <v>9</v>
      </c>
      <c r="Q41" s="18" t="s">
        <v>8</v>
      </c>
      <c r="R41" s="18" t="s">
        <v>8</v>
      </c>
      <c r="S41" s="18" t="s">
        <v>8</v>
      </c>
      <c r="T41" s="18" t="s">
        <v>8</v>
      </c>
      <c r="U41" s="18" t="s">
        <v>9</v>
      </c>
      <c r="V41" s="18" t="s">
        <v>8</v>
      </c>
      <c r="W41" s="18" t="s">
        <v>8</v>
      </c>
      <c r="X41" s="18" t="s">
        <v>8</v>
      </c>
      <c r="Y41" s="18" t="s">
        <v>9</v>
      </c>
      <c r="Z41" s="18" t="s">
        <v>0</v>
      </c>
      <c r="AA41" s="18" t="s">
        <v>0</v>
      </c>
      <c r="AB41" s="18" t="s">
        <v>8</v>
      </c>
      <c r="AC41" s="18" t="s">
        <v>8</v>
      </c>
      <c r="AD41" s="18" t="s">
        <v>8</v>
      </c>
      <c r="AE41" s="18" t="s">
        <v>8</v>
      </c>
      <c r="AF41" s="18" t="s">
        <v>8</v>
      </c>
      <c r="AG41" s="18" t="s">
        <v>8</v>
      </c>
      <c r="AH41" s="18" t="s">
        <v>0</v>
      </c>
      <c r="AI41" s="18" t="s">
        <v>8</v>
      </c>
      <c r="AJ41" s="9"/>
    </row>
    <row r="42" spans="1:36" s="8" customFormat="1" ht="22" customHeight="1" thickBot="1" x14ac:dyDescent="0.3">
      <c r="A42" s="6"/>
      <c r="B42" s="65" t="s">
        <v>18</v>
      </c>
      <c r="C42" s="66"/>
      <c r="D42" s="7" t="s">
        <v>17</v>
      </c>
      <c r="E42" s="67" t="s">
        <v>11</v>
      </c>
      <c r="F42" s="68"/>
      <c r="G42" s="13">
        <f>COUNTIF(E41:AI41,"H")</f>
        <v>22</v>
      </c>
      <c r="H42" s="67" t="s">
        <v>12</v>
      </c>
      <c r="I42" s="68"/>
      <c r="J42" s="13">
        <f>COUNTIF(E41:AI41,"T")</f>
        <v>5</v>
      </c>
      <c r="K42" s="67" t="s">
        <v>13</v>
      </c>
      <c r="L42" s="68"/>
      <c r="M42" s="13">
        <f>COUNTIF(E41:AI41,"A") + COUNTIF(E41:AI41,"I")</f>
        <v>4</v>
      </c>
      <c r="N42" s="67" t="s">
        <v>14</v>
      </c>
      <c r="O42" s="68"/>
      <c r="P42" s="13">
        <f>IF((G42+J42+M42)=0,0,(G42+J42)/(G42+J42+M42)*100)</f>
        <v>87.096774193548384</v>
      </c>
      <c r="Q42" s="67"/>
      <c r="R42" s="68"/>
      <c r="S42" s="13"/>
      <c r="T42" s="67"/>
      <c r="U42" s="68"/>
      <c r="V42" s="14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6"/>
    </row>
    <row r="43" spans="1:36" s="10" customFormat="1" ht="22" customHeight="1" x14ac:dyDescent="0.25">
      <c r="A43" s="9"/>
      <c r="B43" s="62" t="s">
        <v>41</v>
      </c>
      <c r="C43" s="63"/>
      <c r="D43" s="64"/>
      <c r="E43" s="16" t="s">
        <v>8</v>
      </c>
      <c r="F43" s="16" t="s">
        <v>0</v>
      </c>
      <c r="G43" s="17" t="s">
        <v>8</v>
      </c>
      <c r="H43" s="17" t="s">
        <v>8</v>
      </c>
      <c r="I43" s="17" t="s">
        <v>8</v>
      </c>
      <c r="J43" s="17" t="s">
        <v>8</v>
      </c>
      <c r="K43" s="17" t="s">
        <v>8</v>
      </c>
      <c r="L43" s="19" t="s">
        <v>8</v>
      </c>
      <c r="M43" s="19" t="s">
        <v>9</v>
      </c>
      <c r="N43" s="18" t="s">
        <v>9</v>
      </c>
      <c r="O43" s="18" t="s">
        <v>8</v>
      </c>
      <c r="P43" s="18" t="s">
        <v>9</v>
      </c>
      <c r="Q43" s="18" t="s">
        <v>8</v>
      </c>
      <c r="R43" s="18" t="s">
        <v>8</v>
      </c>
      <c r="S43" s="18" t="s">
        <v>8</v>
      </c>
      <c r="T43" s="18" t="s">
        <v>8</v>
      </c>
      <c r="U43" s="18" t="s">
        <v>9</v>
      </c>
      <c r="V43" s="18" t="s">
        <v>8</v>
      </c>
      <c r="W43" s="18" t="s">
        <v>8</v>
      </c>
      <c r="X43" s="18" t="s">
        <v>8</v>
      </c>
      <c r="Y43" s="18" t="s">
        <v>9</v>
      </c>
      <c r="Z43" s="18" t="s">
        <v>0</v>
      </c>
      <c r="AA43" s="18" t="s">
        <v>0</v>
      </c>
      <c r="AB43" s="18" t="s">
        <v>8</v>
      </c>
      <c r="AC43" s="18" t="s">
        <v>8</v>
      </c>
      <c r="AD43" s="18" t="s">
        <v>8</v>
      </c>
      <c r="AE43" s="18" t="s">
        <v>8</v>
      </c>
      <c r="AF43" s="18" t="s">
        <v>8</v>
      </c>
      <c r="AG43" s="18" t="s">
        <v>8</v>
      </c>
      <c r="AH43" s="18" t="s">
        <v>0</v>
      </c>
      <c r="AI43" s="18" t="s">
        <v>8</v>
      </c>
      <c r="AJ43" s="9"/>
    </row>
    <row r="44" spans="1:36" s="8" customFormat="1" ht="22" customHeight="1" thickBot="1" x14ac:dyDescent="0.3">
      <c r="A44" s="6"/>
      <c r="B44" s="65" t="s">
        <v>18</v>
      </c>
      <c r="C44" s="66"/>
      <c r="D44" s="7" t="s">
        <v>17</v>
      </c>
      <c r="E44" s="67" t="s">
        <v>11</v>
      </c>
      <c r="F44" s="68"/>
      <c r="G44" s="13">
        <f>COUNTIF(E43:AI43,"H")</f>
        <v>22</v>
      </c>
      <c r="H44" s="67" t="s">
        <v>12</v>
      </c>
      <c r="I44" s="68"/>
      <c r="J44" s="13">
        <f>COUNTIF(E43:AI43,"T")</f>
        <v>5</v>
      </c>
      <c r="K44" s="67" t="s">
        <v>13</v>
      </c>
      <c r="L44" s="68"/>
      <c r="M44" s="13">
        <f>COUNTIF(E43:AI43,"A") + COUNTIF(E43:AI43,"I")</f>
        <v>4</v>
      </c>
      <c r="N44" s="67" t="s">
        <v>14</v>
      </c>
      <c r="O44" s="68"/>
      <c r="P44" s="13">
        <f>IF((G44+J44+M44)=0,0,(G44+J44)/(G44+J44+M44)*100)</f>
        <v>87.096774193548384</v>
      </c>
      <c r="Q44" s="67"/>
      <c r="R44" s="68"/>
      <c r="S44" s="13"/>
      <c r="T44" s="67"/>
      <c r="U44" s="68"/>
      <c r="V44" s="14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6"/>
    </row>
    <row r="45" spans="1:36" ht="22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ht="28.5" customHeight="1" x14ac:dyDescent="0.35">
      <c r="A46" s="2"/>
      <c r="B46" s="48" t="s">
        <v>19</v>
      </c>
      <c r="C46" s="48"/>
      <c r="D46" s="48"/>
      <c r="E46" s="48"/>
      <c r="F46" s="48"/>
      <c r="G46" s="48"/>
      <c r="H46" s="48"/>
      <c r="I46" s="48"/>
      <c r="J46" s="48"/>
      <c r="L46" s="49" t="s">
        <v>63</v>
      </c>
      <c r="M46" s="50"/>
      <c r="N46" s="50"/>
      <c r="O46" s="50"/>
      <c r="P46" s="50"/>
      <c r="Q46" s="50"/>
      <c r="R46" s="50"/>
      <c r="S46" s="50"/>
      <c r="T46" s="50"/>
      <c r="U46" s="50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6" ht="22" customHeight="1" x14ac:dyDescent="0.35">
      <c r="A47" s="2"/>
      <c r="B47" s="51"/>
      <c r="C47" s="51"/>
      <c r="D47" s="51"/>
      <c r="E47" s="51"/>
      <c r="F47" s="51"/>
      <c r="G47" s="51"/>
      <c r="H47" s="51"/>
      <c r="I47" s="51"/>
      <c r="J47" s="51"/>
      <c r="L47" s="52" t="s">
        <v>21</v>
      </c>
      <c r="M47" s="52"/>
      <c r="N47" s="52"/>
      <c r="O47" s="52"/>
      <c r="P47" s="52"/>
      <c r="Q47" s="52"/>
      <c r="R47" s="52"/>
      <c r="S47" s="52"/>
      <c r="T47" s="53">
        <v>31</v>
      </c>
      <c r="U47" s="54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6" ht="22" customHeight="1" x14ac:dyDescent="0.35">
      <c r="A48" s="2"/>
      <c r="B48" s="51"/>
      <c r="C48" s="51"/>
      <c r="D48" s="51"/>
      <c r="E48" s="51"/>
      <c r="F48" s="51"/>
      <c r="G48" s="51"/>
      <c r="H48" s="51"/>
      <c r="I48" s="51"/>
      <c r="J48" s="51"/>
      <c r="L48" s="52" t="s">
        <v>42</v>
      </c>
      <c r="M48" s="52"/>
      <c r="N48" s="52"/>
      <c r="O48" s="52"/>
      <c r="P48" s="52"/>
      <c r="Q48" s="52"/>
      <c r="R48" s="52"/>
      <c r="S48" s="52"/>
      <c r="T48" s="53">
        <v>20</v>
      </c>
      <c r="U48" s="54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1:36" ht="22" customHeight="1" x14ac:dyDescent="0.35">
      <c r="A49" s="2"/>
      <c r="B49" s="51"/>
      <c r="C49" s="51"/>
      <c r="D49" s="51"/>
      <c r="E49" s="51"/>
      <c r="F49" s="51"/>
      <c r="G49" s="51"/>
      <c r="H49" s="51"/>
      <c r="I49" s="51"/>
      <c r="J49" s="51"/>
      <c r="L49" s="55" t="s">
        <v>43</v>
      </c>
      <c r="M49" s="55"/>
      <c r="N49" s="55"/>
      <c r="O49" s="55"/>
      <c r="P49" s="55"/>
      <c r="Q49" s="55"/>
      <c r="R49" s="55"/>
      <c r="S49" s="55"/>
      <c r="T49" s="58">
        <f>T47*T48</f>
        <v>620</v>
      </c>
      <c r="U49" s="59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1:36" ht="22" customHeight="1" x14ac:dyDescent="0.35">
      <c r="A50" s="2"/>
      <c r="B50" s="51"/>
      <c r="C50" s="51"/>
      <c r="D50" s="51"/>
      <c r="E50" s="51"/>
      <c r="F50" s="51"/>
      <c r="G50" s="51"/>
      <c r="H50" s="51"/>
      <c r="I50" s="51"/>
      <c r="J50" s="51"/>
      <c r="L50" s="52" t="s">
        <v>44</v>
      </c>
      <c r="M50" s="52"/>
      <c r="N50" s="52"/>
      <c r="O50" s="52"/>
      <c r="P50" s="52"/>
      <c r="Q50" s="52"/>
      <c r="R50" s="52"/>
      <c r="S50" s="52"/>
      <c r="T50" s="60">
        <f>COUNTIF(E5:AI43,"H")</f>
        <v>444</v>
      </c>
      <c r="U50" s="61"/>
      <c r="AD50" s="2"/>
      <c r="AE50" s="2"/>
      <c r="AF50" s="2"/>
      <c r="AG50" s="2"/>
      <c r="AH50" s="2"/>
      <c r="AI50" s="2"/>
    </row>
    <row r="51" spans="1:36" ht="22" customHeight="1" x14ac:dyDescent="0.35">
      <c r="A51" s="2"/>
      <c r="B51" s="51"/>
      <c r="C51" s="51"/>
      <c r="D51" s="51"/>
      <c r="E51" s="51"/>
      <c r="F51" s="51"/>
      <c r="G51" s="51"/>
      <c r="H51" s="51"/>
      <c r="I51" s="51"/>
      <c r="J51" s="51"/>
      <c r="L51" s="52" t="s">
        <v>87</v>
      </c>
      <c r="M51" s="52"/>
      <c r="N51" s="52"/>
      <c r="O51" s="52"/>
      <c r="P51" s="52"/>
      <c r="Q51" s="52"/>
      <c r="R51" s="52"/>
      <c r="S51" s="52"/>
      <c r="T51" s="60">
        <f>COUNTIF(E5:AI43,"T")</f>
        <v>96</v>
      </c>
      <c r="U51" s="61"/>
      <c r="AD51" s="2"/>
      <c r="AE51" s="2"/>
      <c r="AF51" s="2"/>
      <c r="AG51" s="2"/>
      <c r="AH51" s="2"/>
      <c r="AI51" s="2"/>
    </row>
    <row r="52" spans="1:36" ht="22" customHeight="1" x14ac:dyDescent="0.35">
      <c r="A52" s="2"/>
      <c r="B52" s="51"/>
      <c r="C52" s="51"/>
      <c r="D52" s="51"/>
      <c r="E52" s="51"/>
      <c r="F52" s="51"/>
      <c r="G52" s="51"/>
      <c r="H52" s="51"/>
      <c r="I52" s="51"/>
      <c r="J52" s="51"/>
      <c r="L52" s="52" t="s">
        <v>88</v>
      </c>
      <c r="M52" s="52"/>
      <c r="N52" s="52"/>
      <c r="O52" s="52"/>
      <c r="P52" s="52"/>
      <c r="Q52" s="52"/>
      <c r="R52" s="52"/>
      <c r="S52" s="52"/>
      <c r="T52" s="60">
        <f>COUNTIF(E5:AI43,"A")+COUNTIF(E5:AI43,"I")</f>
        <v>80</v>
      </c>
      <c r="U52" s="61"/>
      <c r="AD52" s="2"/>
      <c r="AE52" s="2"/>
      <c r="AF52" s="2"/>
      <c r="AG52" s="2"/>
      <c r="AH52" s="2"/>
      <c r="AI52" s="2"/>
    </row>
    <row r="53" spans="1:36" ht="22" customHeight="1" x14ac:dyDescent="0.35">
      <c r="A53" s="2"/>
      <c r="B53" s="51"/>
      <c r="C53" s="51"/>
      <c r="D53" s="51"/>
      <c r="E53" s="51"/>
      <c r="F53" s="51"/>
      <c r="G53" s="51"/>
      <c r="H53" s="51"/>
      <c r="I53" s="51"/>
      <c r="J53" s="51"/>
      <c r="L53" s="52" t="s">
        <v>47</v>
      </c>
      <c r="M53" s="52"/>
      <c r="N53" s="52"/>
      <c r="O53" s="52"/>
      <c r="P53" s="52"/>
      <c r="Q53" s="52"/>
      <c r="R53" s="52"/>
      <c r="S53" s="52"/>
      <c r="T53" s="56">
        <f>IF((T50+T51+T52)=0,0,(T50+T51)/( T50+T51+T52))</f>
        <v>0.87096774193548387</v>
      </c>
      <c r="U53" s="57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1:36" ht="16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ht="16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ht="16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ht="16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ht="16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ht="16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ht="16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spans="1:36" ht="16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ht="16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6" ht="16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ht="16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ht="16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ht="16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spans="1:36" ht="16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6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spans="1:36" ht="16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spans="1:36" ht="16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spans="1:36" ht="16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spans="1:36" ht="16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spans="1:36" ht="16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6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6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6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spans="1:36" ht="16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spans="1:36" ht="16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spans="1:36" ht="16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6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6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spans="1:36" ht="16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spans="1:36" ht="16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spans="1:36" ht="16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spans="1:36" ht="16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spans="1:36" ht="16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spans="1:36" ht="16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spans="1:36" ht="16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6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spans="1:36" ht="16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spans="1:36" ht="16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spans="1:36" ht="16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spans="1:36" ht="16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spans="1:36" ht="16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spans="1:36" ht="16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spans="1:36" ht="16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spans="1:36" ht="16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spans="1:36" ht="16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spans="1:36" ht="16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spans="1:36" ht="16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spans="1:36" ht="16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spans="1:36" ht="16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spans="1:36" ht="16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spans="1:36" ht="16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spans="1:36" ht="16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spans="1:36" ht="16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spans="1:36" ht="16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spans="1:36" ht="16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spans="1:36" ht="16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spans="1:36" ht="16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spans="1:36" ht="16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spans="1:36" ht="16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spans="1:36" ht="16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spans="1:36" ht="16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spans="1:36" ht="16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spans="1:36" ht="16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spans="1:36" ht="16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spans="1:36" ht="16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spans="1:36" ht="16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spans="1:36" ht="16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6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6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6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6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6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6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6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6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6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6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6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6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6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6" ht="16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6" ht="16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6" ht="16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6" ht="16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6" ht="16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6" ht="16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spans="1:36" ht="16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spans="1:36" ht="16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spans="1:36" ht="16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spans="1:36" ht="16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spans="1:36" ht="16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spans="1:36" ht="16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spans="1:36" ht="16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spans="1:36" ht="16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spans="1:36" ht="16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spans="1:36" ht="16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spans="1:36" ht="16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spans="1:36" ht="16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spans="1:36" ht="16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spans="1:36" ht="16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spans="1:36" ht="16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spans="1:36" ht="16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spans="1:36" ht="16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spans="1:36" ht="16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spans="1:36" ht="16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spans="1:36" ht="16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spans="1:36" ht="16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spans="1:36" ht="16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spans="1:36" ht="16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spans="1:36" ht="16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spans="1:36" ht="16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spans="1:36" ht="16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spans="1:36" ht="16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spans="1:36" ht="16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spans="1:36" ht="16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spans="1:36" ht="16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spans="1:36" ht="16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spans="1:36" ht="16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spans="1:36" ht="16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spans="1:36" ht="16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spans="1:36" ht="16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spans="1:36" ht="16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spans="1:36" ht="16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spans="1:36" ht="16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spans="1:36" ht="16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spans="1:36" ht="16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spans="1:36" ht="16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spans="1:36" ht="16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spans="1:36" ht="16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spans="1:36" ht="16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spans="1:36" ht="16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spans="1:36" ht="16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spans="1:36" ht="16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spans="1:36" ht="16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spans="1:36" ht="16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spans="1:36" ht="16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spans="1:36" ht="16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spans="1:36" ht="16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spans="1:36" ht="16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spans="1:36" ht="16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spans="1:36" ht="16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spans="1:36" ht="16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spans="1:36" ht="16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spans="1:36" ht="16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spans="1:36" ht="16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spans="1:36" ht="16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spans="1:36" ht="16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spans="1:36" ht="16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spans="1:36" ht="16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spans="1:36" ht="16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spans="1:36" ht="16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spans="1:36" ht="16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spans="1:36" ht="16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spans="1:36" ht="16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spans="1:36" ht="16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spans="1:36" ht="16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spans="1:36" ht="16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spans="1:36" ht="16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spans="1:36" ht="16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spans="1:36" ht="16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spans="1:36" ht="16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spans="1:36" ht="16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spans="1:36" ht="16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spans="1:36" ht="16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spans="1:36" ht="16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spans="1:36" ht="16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spans="1:36" ht="16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spans="1:36" ht="16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spans="1:36" ht="16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spans="1:36" ht="16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spans="1:36" ht="16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spans="1:36" ht="16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spans="1:36" ht="16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spans="1:36" ht="16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spans="1:36" ht="16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spans="1:36" ht="16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spans="1:36" ht="16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spans="1:36" ht="16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spans="1:36" ht="16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spans="1:36" ht="16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spans="1:36" ht="16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spans="1:36" ht="16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spans="1:36" ht="16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spans="1:36" ht="16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spans="1:36" ht="16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spans="1:36" ht="16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spans="1:36" ht="16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spans="1:36" ht="16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spans="1:36" ht="16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spans="1:36" ht="16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spans="1:36" ht="16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spans="1:36" ht="16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spans="1:36" ht="16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spans="1:36" ht="16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spans="1:36" ht="16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spans="1:36" ht="16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spans="1:36" ht="16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spans="1:36" ht="16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spans="1:36" ht="16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spans="1:36" ht="16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spans="1:36" ht="16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spans="1:36" ht="16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spans="1:36" ht="16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spans="1:36" ht="16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spans="1:36" ht="16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spans="1:36" ht="16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spans="1:36" ht="16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spans="1:36" ht="16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spans="1:36" ht="16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spans="1:36" ht="16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spans="1:36" ht="16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spans="1:36" ht="16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spans="1:36" ht="16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spans="1:36" ht="16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spans="1:36" ht="16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spans="1:36" ht="16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spans="1:36" ht="16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spans="1:36" ht="16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spans="1:36" ht="16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spans="1:36" ht="16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spans="1:36" ht="16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spans="1:36" ht="16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spans="1:36" ht="16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spans="1:36" ht="16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spans="1:36" ht="16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spans="1:36" ht="16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spans="1:36" ht="16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spans="1:36" ht="16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spans="1:36" ht="16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spans="1:36" ht="16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spans="1:36" ht="16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spans="1:36" ht="16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spans="1:36" ht="16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spans="1:36" ht="16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spans="1:36" ht="16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spans="1:36" ht="16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spans="1:36" ht="16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spans="1:36" ht="16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spans="1:36" ht="16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spans="1:36" ht="16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spans="1:36" ht="16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spans="1:36" ht="16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spans="1:36" ht="16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spans="1:36" ht="16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spans="1:36" ht="16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spans="1:36" ht="16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spans="1:36" ht="16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spans="1:36" ht="16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spans="1:36" ht="16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spans="1:36" ht="16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spans="1:36" ht="16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spans="1:36" ht="16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spans="1:36" ht="16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spans="1:36" ht="16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spans="1:36" ht="16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spans="1:36" ht="16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spans="1:36" ht="16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spans="1:36" ht="16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spans="1:36" ht="16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spans="1:36" ht="16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spans="1:36" ht="16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spans="1:36" ht="16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spans="1:36" ht="16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spans="1:36" ht="16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spans="1:36" ht="16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spans="1:36" ht="16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spans="1:36" ht="16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spans="1:36" ht="16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spans="1:36" ht="16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spans="1:36" ht="16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spans="1:36" ht="16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spans="1:36" ht="16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spans="1:36" ht="16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spans="1:36" ht="16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spans="1:36" ht="16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spans="1:36" ht="16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spans="1:36" ht="16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spans="1:36" ht="16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spans="1:36" ht="16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spans="1:36" ht="16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spans="1:36" ht="16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spans="1:36" ht="16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spans="1:36" ht="16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spans="1:36" ht="16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spans="1:36" ht="16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spans="1:36" ht="16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spans="1:36" ht="16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spans="1:36" ht="16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spans="1:36" ht="16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spans="1:36" ht="16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spans="1:36" ht="16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spans="1:36" ht="16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spans="1:36" ht="16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spans="1:36" ht="16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spans="1:36" ht="16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spans="1:36" ht="16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spans="1:36" ht="16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spans="1:36" ht="16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spans="1:36" ht="16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spans="1:36" ht="16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spans="1:36" ht="16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spans="1:36" ht="16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spans="1:36" ht="16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spans="1:36" ht="16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spans="1:36" ht="16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spans="1:36" ht="16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spans="1:36" ht="16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spans="1:36" ht="16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spans="1:36" ht="16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spans="1:36" ht="16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spans="1:36" ht="16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spans="1:36" ht="16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spans="1:36" ht="16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spans="1:36" ht="16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spans="1:36" ht="16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spans="1:36" ht="16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spans="1:36" ht="16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spans="1:36" ht="16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spans="1:36" ht="16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spans="1:36" ht="16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spans="1:36" ht="16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spans="1:36" ht="16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spans="1:36" ht="16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spans="1:36" ht="16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spans="1:36" ht="16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spans="1:36" ht="16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spans="1:36" ht="16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spans="1:36" ht="16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spans="1:36" ht="16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spans="1:36" ht="16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spans="1:36" ht="16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spans="1:36" ht="16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spans="1:36" ht="16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spans="1:36" ht="16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spans="1:36" ht="16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spans="1:36" ht="16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spans="1:36" ht="16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spans="1:36" ht="16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spans="1:36" ht="16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spans="1:36" ht="16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spans="1:36" ht="16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spans="1:36" ht="16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spans="1:36" ht="16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spans="1:36" ht="16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spans="1:36" ht="16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spans="1:36" ht="16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spans="1:36" ht="16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spans="1:36" ht="16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spans="1:36" ht="16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spans="1:36" ht="16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spans="1:36" ht="16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spans="1:36" ht="16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spans="1:36" ht="16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spans="1:36" ht="16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spans="1:36" ht="16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spans="1:36" ht="16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spans="1:36" ht="16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spans="1:36" ht="16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spans="1:36" ht="16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spans="1:36" ht="16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spans="1:36" ht="16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spans="1:36" ht="16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spans="1:36" ht="16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spans="1:36" ht="16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spans="1:36" ht="16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spans="1:36" ht="16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spans="1:36" ht="16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spans="1:36" ht="16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spans="1:36" ht="16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spans="1:36" ht="16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spans="1:36" ht="16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spans="1:36" ht="16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spans="1:36" ht="16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spans="1:36" ht="16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spans="1:36" ht="16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spans="1:36" ht="16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spans="1:36" ht="16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spans="1:36" ht="16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spans="1:36" ht="16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spans="1:36" ht="16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spans="1:36" ht="16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spans="1:36" ht="16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spans="1:36" ht="16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spans="1:36" ht="16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spans="1:36" ht="16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spans="1:36" ht="16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spans="1:36" ht="16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spans="1:36" ht="16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spans="1:36" ht="16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spans="1:36" ht="16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spans="1:36" ht="16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spans="1:36" ht="16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spans="1:36" ht="16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spans="1:36" ht="16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spans="1:36" ht="16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spans="1:36" ht="16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spans="1:36" ht="16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spans="1:36" ht="16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spans="1:36" ht="16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spans="1:36" ht="16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spans="1:36" ht="16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spans="1:36" ht="16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spans="1:36" ht="16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spans="1:36" ht="16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spans="1:36" ht="16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spans="1:36" ht="16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spans="1:36" ht="16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spans="1:36" ht="16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spans="1:36" ht="16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spans="1:36" ht="16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spans="1:36" ht="16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spans="1:36" ht="16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spans="1:36" ht="16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spans="1:36" ht="16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spans="1:36" ht="16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spans="1:36" ht="16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spans="1:36" ht="16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spans="1:36" ht="16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spans="1:36" ht="16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spans="1:36" ht="16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spans="1:36" ht="16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spans="1:36" ht="16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spans="1:36" ht="16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spans="1:36" ht="16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spans="1:36" ht="16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spans="1:36" ht="16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spans="1:36" ht="16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spans="1:36" ht="16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spans="1:36" ht="16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spans="1:36" ht="16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spans="1:36" ht="16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spans="1:36" ht="16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spans="1:36" ht="16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spans="1:36" ht="16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spans="1:36" ht="16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spans="1:36" ht="16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spans="1:36" ht="16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spans="1:36" ht="16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spans="1:36" ht="16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spans="1:36" ht="16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spans="1:36" ht="16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spans="1:36" ht="16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spans="1:36" ht="16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spans="1:36" ht="16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spans="1:36" ht="16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spans="1:36" ht="16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spans="1:36" ht="16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spans="1:36" ht="16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spans="1:36" ht="16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spans="1:36" ht="16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spans="1:36" ht="16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spans="1:36" ht="16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spans="1:36" ht="16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spans="1:36" ht="16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spans="1:36" ht="16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spans="1:36" ht="16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spans="1:36" ht="16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spans="1:36" ht="16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spans="1:36" ht="16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spans="1:36" ht="16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spans="1:36" ht="16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spans="1:36" ht="16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spans="1:36" ht="16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spans="1:36" ht="16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spans="1:36" ht="16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spans="1:36" ht="16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spans="1:36" ht="16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spans="1:36" ht="16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spans="1:36" ht="16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spans="1:36" ht="16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spans="1:36" ht="16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spans="1:36" ht="16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spans="1:36" ht="16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spans="1:36" ht="16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spans="1:36" ht="16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spans="1:36" ht="16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spans="1:36" ht="16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spans="1:36" ht="16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spans="1:36" ht="16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spans="1:36" ht="16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spans="1:36" ht="16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spans="1:36" ht="16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spans="1:36" ht="16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spans="1:36" ht="16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spans="1:36" ht="16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spans="1:36" ht="16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spans="1:36" ht="16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spans="1:36" ht="16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spans="1:36" ht="16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spans="1:36" ht="16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spans="1:36" ht="16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spans="1:36" ht="16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spans="1:36" ht="16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spans="1:36" ht="16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spans="1:36" ht="16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spans="1:36" ht="16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spans="1:36" ht="16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spans="1:36" ht="16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spans="1:36" ht="16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spans="1:36" ht="16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spans="1:36" ht="16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spans="1:36" ht="16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spans="1:36" ht="16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spans="1:36" ht="16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spans="1:36" ht="16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spans="1:36" ht="16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spans="1:36" ht="16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spans="1:36" ht="16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spans="1:36" ht="16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spans="1:36" ht="16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spans="1:36" ht="16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spans="1:36" ht="16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spans="1:36" ht="16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spans="1:36" ht="16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spans="1:36" ht="16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spans="1:36" ht="16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spans="1:36" ht="16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spans="1:36" ht="16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spans="1:36" ht="16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spans="1:36" ht="16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spans="1:36" ht="16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spans="1:36" ht="16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spans="1:36" ht="16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spans="1:36" ht="16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spans="1:36" ht="16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spans="1:36" ht="16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spans="1:36" ht="16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spans="1:36" ht="16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spans="1:36" ht="16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spans="1:36" ht="16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spans="1:36" ht="16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spans="1:36" ht="16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spans="1:36" ht="16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spans="1:36" ht="16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spans="1:36" ht="16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spans="1:36" ht="16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spans="1:36" ht="16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spans="1:36" ht="16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spans="1:36" ht="16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spans="1:36" ht="16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spans="1:36" ht="16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spans="1:36" ht="16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spans="1:36" ht="16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spans="1:36" ht="16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spans="1:36" ht="16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spans="1:36" ht="16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spans="1:36" ht="16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spans="1:36" ht="16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spans="1:36" ht="16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spans="1:36" ht="16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spans="1:36" ht="16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spans="1:36" ht="16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spans="1:36" ht="16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spans="1:36" ht="16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spans="1:36" ht="16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spans="1:36" ht="16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spans="1:36" ht="16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spans="1:36" ht="16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spans="1:36" ht="16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spans="1:36" ht="16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spans="1:36" ht="16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spans="1:36" ht="16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spans="1:36" ht="16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spans="1:36" ht="16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spans="1:36" ht="16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spans="1:36" ht="16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spans="1:36" ht="16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spans="1:36" ht="16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spans="1:36" ht="16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spans="1:36" ht="16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spans="1:36" ht="16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spans="1:36" ht="16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spans="1:36" ht="16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spans="1:36" ht="16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spans="1:36" ht="16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spans="1:36" ht="16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spans="1:36" ht="16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spans="1:36" ht="16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spans="1:36" ht="16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spans="1:36" ht="16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spans="1:36" ht="16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spans="1:36" ht="16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spans="1:36" ht="16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spans="1:36" ht="16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spans="1:36" ht="16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spans="1:36" ht="16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spans="1:36" ht="16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spans="1:36" ht="16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spans="1:36" ht="16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spans="1:36" ht="16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spans="1:36" ht="16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spans="1:36" ht="16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spans="1:36" ht="16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spans="1:36" ht="16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spans="1:36" ht="16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spans="1:36" ht="16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spans="1:36" ht="16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</sheetData>
  <mergeCells count="184">
    <mergeCell ref="M2:N2"/>
    <mergeCell ref="Q2:R2"/>
    <mergeCell ref="U2:W2"/>
    <mergeCell ref="C4:D4"/>
    <mergeCell ref="B5:D5"/>
    <mergeCell ref="B6:C6"/>
    <mergeCell ref="E6:F6"/>
    <mergeCell ref="H6:I6"/>
    <mergeCell ref="K6:L6"/>
    <mergeCell ref="B2:D2"/>
    <mergeCell ref="E2:F2"/>
    <mergeCell ref="I2:J2"/>
    <mergeCell ref="N6:O6"/>
    <mergeCell ref="Q6:R6"/>
    <mergeCell ref="T6:U6"/>
    <mergeCell ref="B7:D7"/>
    <mergeCell ref="B8:C8"/>
    <mergeCell ref="E8:F8"/>
    <mergeCell ref="H8:I8"/>
    <mergeCell ref="K8:L8"/>
    <mergeCell ref="N8:O8"/>
    <mergeCell ref="Q8:R8"/>
    <mergeCell ref="B11:D11"/>
    <mergeCell ref="B12:C12"/>
    <mergeCell ref="E12:F12"/>
    <mergeCell ref="H12:I12"/>
    <mergeCell ref="K12:L12"/>
    <mergeCell ref="N12:O12"/>
    <mergeCell ref="T8:U8"/>
    <mergeCell ref="B9:D9"/>
    <mergeCell ref="B10:C10"/>
    <mergeCell ref="E10:F10"/>
    <mergeCell ref="H10:I10"/>
    <mergeCell ref="K10:L10"/>
    <mergeCell ref="N10:O10"/>
    <mergeCell ref="Q10:R10"/>
    <mergeCell ref="T10:U10"/>
    <mergeCell ref="B15:D15"/>
    <mergeCell ref="B16:C16"/>
    <mergeCell ref="E16:F16"/>
    <mergeCell ref="H16:I16"/>
    <mergeCell ref="K16:L16"/>
    <mergeCell ref="N16:O16"/>
    <mergeCell ref="Q12:R12"/>
    <mergeCell ref="T12:U12"/>
    <mergeCell ref="B13:D13"/>
    <mergeCell ref="B14:C14"/>
    <mergeCell ref="E14:F14"/>
    <mergeCell ref="H14:I14"/>
    <mergeCell ref="K14:L14"/>
    <mergeCell ref="N14:O14"/>
    <mergeCell ref="Q14:R14"/>
    <mergeCell ref="T14:U14"/>
    <mergeCell ref="B19:D19"/>
    <mergeCell ref="B20:C20"/>
    <mergeCell ref="E20:F20"/>
    <mergeCell ref="H20:I20"/>
    <mergeCell ref="K20:L20"/>
    <mergeCell ref="N20:O20"/>
    <mergeCell ref="Q16:R16"/>
    <mergeCell ref="T16:U16"/>
    <mergeCell ref="B17:D17"/>
    <mergeCell ref="B18:C18"/>
    <mergeCell ref="E18:F18"/>
    <mergeCell ref="H18:I18"/>
    <mergeCell ref="K18:L18"/>
    <mergeCell ref="N18:O18"/>
    <mergeCell ref="Q18:R18"/>
    <mergeCell ref="T18:U18"/>
    <mergeCell ref="B23:D23"/>
    <mergeCell ref="B24:C24"/>
    <mergeCell ref="E24:F24"/>
    <mergeCell ref="H24:I24"/>
    <mergeCell ref="K24:L24"/>
    <mergeCell ref="N24:O24"/>
    <mergeCell ref="Q20:R20"/>
    <mergeCell ref="T20:U20"/>
    <mergeCell ref="B21:D21"/>
    <mergeCell ref="B22:C22"/>
    <mergeCell ref="E22:F22"/>
    <mergeCell ref="H22:I22"/>
    <mergeCell ref="K22:L22"/>
    <mergeCell ref="N22:O22"/>
    <mergeCell ref="Q22:R22"/>
    <mergeCell ref="T22:U22"/>
    <mergeCell ref="B27:D27"/>
    <mergeCell ref="B28:C28"/>
    <mergeCell ref="E28:F28"/>
    <mergeCell ref="H28:I28"/>
    <mergeCell ref="K28:L28"/>
    <mergeCell ref="N28:O28"/>
    <mergeCell ref="Q24:R24"/>
    <mergeCell ref="T24:U24"/>
    <mergeCell ref="B25:D25"/>
    <mergeCell ref="B26:C26"/>
    <mergeCell ref="E26:F26"/>
    <mergeCell ref="H26:I26"/>
    <mergeCell ref="K26:L26"/>
    <mergeCell ref="N26:O26"/>
    <mergeCell ref="Q26:R26"/>
    <mergeCell ref="T26:U26"/>
    <mergeCell ref="B31:D31"/>
    <mergeCell ref="B32:C32"/>
    <mergeCell ref="E32:F32"/>
    <mergeCell ref="H32:I32"/>
    <mergeCell ref="K32:L32"/>
    <mergeCell ref="N32:O32"/>
    <mergeCell ref="Q28:R28"/>
    <mergeCell ref="T28:U28"/>
    <mergeCell ref="B29:D29"/>
    <mergeCell ref="B30:C30"/>
    <mergeCell ref="E30:F30"/>
    <mergeCell ref="H30:I30"/>
    <mergeCell ref="K30:L30"/>
    <mergeCell ref="N30:O30"/>
    <mergeCell ref="Q30:R30"/>
    <mergeCell ref="T30:U30"/>
    <mergeCell ref="B35:D35"/>
    <mergeCell ref="B36:C36"/>
    <mergeCell ref="E36:F36"/>
    <mergeCell ref="H36:I36"/>
    <mergeCell ref="K36:L36"/>
    <mergeCell ref="N36:O36"/>
    <mergeCell ref="Q32:R32"/>
    <mergeCell ref="T32:U32"/>
    <mergeCell ref="B33:D33"/>
    <mergeCell ref="B34:C34"/>
    <mergeCell ref="E34:F34"/>
    <mergeCell ref="H34:I34"/>
    <mergeCell ref="K34:L34"/>
    <mergeCell ref="N34:O34"/>
    <mergeCell ref="Q34:R34"/>
    <mergeCell ref="T34:U34"/>
    <mergeCell ref="B39:D39"/>
    <mergeCell ref="B40:C40"/>
    <mergeCell ref="E40:F40"/>
    <mergeCell ref="H40:I40"/>
    <mergeCell ref="K40:L40"/>
    <mergeCell ref="N40:O40"/>
    <mergeCell ref="Q36:R36"/>
    <mergeCell ref="T36:U36"/>
    <mergeCell ref="B37:D37"/>
    <mergeCell ref="B38:C38"/>
    <mergeCell ref="E38:F38"/>
    <mergeCell ref="H38:I38"/>
    <mergeCell ref="K38:L38"/>
    <mergeCell ref="N38:O38"/>
    <mergeCell ref="Q38:R38"/>
    <mergeCell ref="T38:U38"/>
    <mergeCell ref="B43:D43"/>
    <mergeCell ref="B44:C44"/>
    <mergeCell ref="E44:F44"/>
    <mergeCell ref="H44:I44"/>
    <mergeCell ref="K44:L44"/>
    <mergeCell ref="N44:O44"/>
    <mergeCell ref="Q40:R40"/>
    <mergeCell ref="T40:U40"/>
    <mergeCell ref="B41:D41"/>
    <mergeCell ref="B42:C42"/>
    <mergeCell ref="E42:F42"/>
    <mergeCell ref="H42:I42"/>
    <mergeCell ref="K42:L42"/>
    <mergeCell ref="N42:O42"/>
    <mergeCell ref="Q42:R42"/>
    <mergeCell ref="T42:U42"/>
    <mergeCell ref="Q44:R44"/>
    <mergeCell ref="T44:U44"/>
    <mergeCell ref="B46:J46"/>
    <mergeCell ref="L46:U46"/>
    <mergeCell ref="B47:J53"/>
    <mergeCell ref="L47:S47"/>
    <mergeCell ref="T47:U47"/>
    <mergeCell ref="L48:S48"/>
    <mergeCell ref="T48:U48"/>
    <mergeCell ref="L49:S49"/>
    <mergeCell ref="L53:S53"/>
    <mergeCell ref="T53:U53"/>
    <mergeCell ref="T49:U49"/>
    <mergeCell ref="L50:S50"/>
    <mergeCell ref="T50:U50"/>
    <mergeCell ref="L51:S51"/>
    <mergeCell ref="T51:U51"/>
    <mergeCell ref="L52:S52"/>
    <mergeCell ref="T52:U52"/>
  </mergeCells>
  <conditionalFormatting sqref="E5:AI44">
    <cfRule type="cellIs" dxfId="65" priority="1" operator="equal">
      <formula>"H"</formula>
    </cfRule>
    <cfRule type="cellIs" dxfId="64" priority="6" operator="equal">
      <formula>"I"</formula>
    </cfRule>
    <cfRule type="cellIs" dxfId="63" priority="7" operator="equal">
      <formula>"T"</formula>
    </cfRule>
    <cfRule type="cellIs" dxfId="62" priority="8" operator="equal">
      <formula>"A"</formula>
    </cfRule>
  </conditionalFormatting>
  <conditionalFormatting sqref="G2 K2 O2">
    <cfRule type="cellIs" dxfId="61" priority="2" operator="equal">
      <formula>"I"</formula>
    </cfRule>
    <cfRule type="cellIs" dxfId="60" priority="9" operator="equal">
      <formula>"H"</formula>
    </cfRule>
    <cfRule type="cellIs" dxfId="59" priority="10" operator="equal">
      <formula>"T"</formula>
    </cfRule>
    <cfRule type="cellIs" dxfId="58" priority="11" operator="equal">
      <formula>"A"</formula>
    </cfRule>
  </conditionalFormatting>
  <conditionalFormatting sqref="S2">
    <cfRule type="cellIs" dxfId="57" priority="3" operator="equal">
      <formula>"H"</formula>
    </cfRule>
    <cfRule type="cellIs" dxfId="56" priority="4" operator="equal">
      <formula>"T"</formula>
    </cfRule>
    <cfRule type="cellIs" dxfId="55" priority="5" operator="equal">
      <formula>"A"</formula>
    </cfRule>
  </conditionalFormatting>
  <pageMargins left="0.4" right="0.4" top="0.4" bottom="0.4" header="0" footer="0"/>
  <pageSetup paperSize="3" scale="42"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03F95-0908-427D-9E85-6BE6D117B4F8}">
  <sheetPr codeName="Sheet9">
    <tabColor rgb="FFF4EEA2"/>
    <outlinePr summaryBelow="0" summaryRight="0"/>
    <pageSetUpPr fitToPage="1"/>
  </sheetPr>
  <dimension ref="A1:AJ650"/>
  <sheetViews>
    <sheetView showGridLines="0" topLeftCell="F43" zoomScaleNormal="100" workbookViewId="0">
      <selection activeCell="L53" sqref="L46:U53"/>
    </sheetView>
  </sheetViews>
  <sheetFormatPr defaultColWidth="14.453125" defaultRowHeight="15.75" customHeight="1" x14ac:dyDescent="0.25"/>
  <cols>
    <col min="1" max="1" width="3.36328125" style="1" customWidth="1"/>
    <col min="2" max="2" width="19.36328125" style="1" customWidth="1"/>
    <col min="3" max="4" width="14.81640625" style="1" customWidth="1"/>
    <col min="5" max="35" width="7.81640625" style="1" customWidth="1"/>
    <col min="36" max="36" width="3.36328125" style="1" customWidth="1"/>
    <col min="37" max="16384" width="14.453125" style="1"/>
  </cols>
  <sheetData>
    <row r="1" spans="1:36" ht="50" customHeight="1" thickBot="1" x14ac:dyDescent="0.4">
      <c r="A1" s="2"/>
      <c r="B1" s="20" t="s">
        <v>67</v>
      </c>
      <c r="C1" s="2"/>
      <c r="D1" s="3"/>
      <c r="E1" s="4"/>
      <c r="F1" s="2"/>
      <c r="G1" s="3"/>
      <c r="H1" s="3"/>
      <c r="I1" s="2"/>
      <c r="J1" s="2"/>
      <c r="K1" s="3"/>
      <c r="L1" s="3"/>
      <c r="M1" s="2"/>
      <c r="N1" s="2"/>
      <c r="O1" s="3"/>
      <c r="P1" s="3"/>
      <c r="R1" s="2"/>
      <c r="S1" s="3"/>
      <c r="T1" s="3"/>
      <c r="V1" s="2"/>
      <c r="X1" s="2"/>
      <c r="Y1" s="2"/>
      <c r="Z1" s="2"/>
      <c r="AA1" s="2"/>
      <c r="AB1" s="2"/>
      <c r="AC1" s="2"/>
      <c r="AD1" s="2"/>
      <c r="AE1" s="2"/>
      <c r="AF1" s="2"/>
      <c r="AH1" s="2"/>
      <c r="AI1" s="2"/>
      <c r="AJ1" s="2"/>
    </row>
    <row r="2" spans="1:36" ht="44" customHeight="1" x14ac:dyDescent="0.35">
      <c r="A2" s="2"/>
      <c r="B2" s="76" t="s">
        <v>3</v>
      </c>
      <c r="C2" s="76"/>
      <c r="D2" s="77"/>
      <c r="E2" s="42" t="s">
        <v>4</v>
      </c>
      <c r="F2" s="43"/>
      <c r="G2" s="21" t="s">
        <v>8</v>
      </c>
      <c r="I2" s="44" t="s">
        <v>5</v>
      </c>
      <c r="J2" s="45"/>
      <c r="K2" s="11" t="s">
        <v>9</v>
      </c>
      <c r="M2" s="46" t="s">
        <v>7</v>
      </c>
      <c r="N2" s="47"/>
      <c r="O2" s="12" t="s">
        <v>10</v>
      </c>
      <c r="Q2" s="46" t="s">
        <v>6</v>
      </c>
      <c r="R2" s="47"/>
      <c r="S2" s="12" t="s">
        <v>0</v>
      </c>
      <c r="T2" s="23"/>
      <c r="U2" s="40"/>
      <c r="V2" s="40"/>
      <c r="W2" s="40"/>
      <c r="X2" s="22"/>
      <c r="AC2" s="2"/>
      <c r="AD2" s="2"/>
      <c r="AE2" s="2"/>
      <c r="AF2" s="2"/>
      <c r="AG2" s="2"/>
      <c r="AH2" s="2"/>
      <c r="AI2" s="2"/>
      <c r="AJ2" s="2"/>
    </row>
    <row r="3" spans="1:36" ht="16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ht="25" customHeight="1" x14ac:dyDescent="0.35">
      <c r="A4" s="2"/>
      <c r="B4" s="25" t="s">
        <v>16</v>
      </c>
      <c r="C4" s="73" t="s">
        <v>68</v>
      </c>
      <c r="D4" s="74"/>
      <c r="E4" s="24">
        <v>1</v>
      </c>
      <c r="F4" s="24">
        <v>2</v>
      </c>
      <c r="G4" s="24">
        <v>3</v>
      </c>
      <c r="H4" s="24">
        <v>4</v>
      </c>
      <c r="I4" s="24">
        <v>5</v>
      </c>
      <c r="J4" s="24">
        <v>6</v>
      </c>
      <c r="K4" s="24">
        <v>7</v>
      </c>
      <c r="L4" s="24">
        <v>8</v>
      </c>
      <c r="M4" s="24">
        <v>9</v>
      </c>
      <c r="N4" s="24">
        <v>10</v>
      </c>
      <c r="O4" s="24">
        <v>11</v>
      </c>
      <c r="P4" s="24">
        <v>12</v>
      </c>
      <c r="Q4" s="24">
        <v>13</v>
      </c>
      <c r="R4" s="24">
        <v>14</v>
      </c>
      <c r="S4" s="24">
        <v>15</v>
      </c>
      <c r="T4" s="24">
        <v>16</v>
      </c>
      <c r="U4" s="24">
        <v>17</v>
      </c>
      <c r="V4" s="24">
        <v>18</v>
      </c>
      <c r="W4" s="24">
        <v>19</v>
      </c>
      <c r="X4" s="24">
        <v>20</v>
      </c>
      <c r="Y4" s="24">
        <v>21</v>
      </c>
      <c r="Z4" s="24">
        <v>22</v>
      </c>
      <c r="AA4" s="24">
        <v>23</v>
      </c>
      <c r="AB4" s="24">
        <v>24</v>
      </c>
      <c r="AC4" s="24">
        <v>25</v>
      </c>
      <c r="AD4" s="24">
        <v>26</v>
      </c>
      <c r="AE4" s="24">
        <v>27</v>
      </c>
      <c r="AF4" s="24">
        <v>28</v>
      </c>
      <c r="AG4" s="24">
        <v>29</v>
      </c>
      <c r="AH4" s="24">
        <v>30</v>
      </c>
      <c r="AI4" s="2"/>
    </row>
    <row r="5" spans="1:36" ht="22" customHeight="1" x14ac:dyDescent="0.35">
      <c r="A5" s="2"/>
      <c r="B5" s="75" t="s">
        <v>22</v>
      </c>
      <c r="C5" s="75"/>
      <c r="D5" s="75"/>
      <c r="E5" s="16" t="s">
        <v>10</v>
      </c>
      <c r="F5" s="16" t="s">
        <v>0</v>
      </c>
      <c r="G5" s="17" t="s">
        <v>8</v>
      </c>
      <c r="H5" s="17" t="s">
        <v>8</v>
      </c>
      <c r="I5" s="17" t="s">
        <v>8</v>
      </c>
      <c r="J5" s="17" t="s">
        <v>8</v>
      </c>
      <c r="K5" s="17" t="s">
        <v>8</v>
      </c>
      <c r="L5" s="19" t="s">
        <v>8</v>
      </c>
      <c r="M5" s="19" t="s">
        <v>9</v>
      </c>
      <c r="N5" s="18" t="s">
        <v>9</v>
      </c>
      <c r="O5" s="18" t="s">
        <v>8</v>
      </c>
      <c r="P5" s="18" t="s">
        <v>9</v>
      </c>
      <c r="Q5" s="18" t="s">
        <v>8</v>
      </c>
      <c r="R5" s="18" t="s">
        <v>8</v>
      </c>
      <c r="S5" s="18" t="s">
        <v>8</v>
      </c>
      <c r="T5" s="18" t="s">
        <v>8</v>
      </c>
      <c r="U5" s="18" t="s">
        <v>9</v>
      </c>
      <c r="V5" s="18" t="s">
        <v>8</v>
      </c>
      <c r="W5" s="18" t="s">
        <v>8</v>
      </c>
      <c r="X5" s="18" t="s">
        <v>8</v>
      </c>
      <c r="Y5" s="18" t="s">
        <v>9</v>
      </c>
      <c r="Z5" s="18" t="s">
        <v>0</v>
      </c>
      <c r="AA5" s="18" t="s">
        <v>0</v>
      </c>
      <c r="AB5" s="18" t="s">
        <v>8</v>
      </c>
      <c r="AC5" s="18" t="s">
        <v>8</v>
      </c>
      <c r="AD5" s="18" t="s">
        <v>8</v>
      </c>
      <c r="AE5" s="18" t="s">
        <v>8</v>
      </c>
      <c r="AF5" s="18" t="s">
        <v>8</v>
      </c>
      <c r="AG5" s="18" t="s">
        <v>8</v>
      </c>
      <c r="AH5" s="18" t="s">
        <v>0</v>
      </c>
      <c r="AI5" s="2"/>
    </row>
    <row r="6" spans="1:36" s="8" customFormat="1" ht="22" customHeight="1" thickBot="1" x14ac:dyDescent="0.3">
      <c r="A6" s="6"/>
      <c r="B6" s="65" t="s">
        <v>18</v>
      </c>
      <c r="C6" s="66"/>
      <c r="D6" s="7" t="s">
        <v>17</v>
      </c>
      <c r="E6" s="67" t="s">
        <v>11</v>
      </c>
      <c r="F6" s="68"/>
      <c r="G6" s="13">
        <f>COUNTIF(E5:AH5,"H")</f>
        <v>20</v>
      </c>
      <c r="H6" s="67" t="s">
        <v>12</v>
      </c>
      <c r="I6" s="68"/>
      <c r="J6" s="13">
        <f>COUNTIF(E5:AH5,"T")</f>
        <v>5</v>
      </c>
      <c r="K6" s="67" t="s">
        <v>13</v>
      </c>
      <c r="L6" s="68"/>
      <c r="M6" s="13">
        <f>COUNTIF(E5:AH5,"A") + COUNTIF(E5:AH5,"I")</f>
        <v>5</v>
      </c>
      <c r="N6" s="67" t="s">
        <v>14</v>
      </c>
      <c r="O6" s="68"/>
      <c r="P6" s="13">
        <f>IF((G6+J6+M6)=0,0,(G6+J6)/(G6+J6+M6)*100)</f>
        <v>83.333333333333343</v>
      </c>
      <c r="Q6" s="67"/>
      <c r="R6" s="68"/>
      <c r="S6" s="13"/>
      <c r="T6" s="67"/>
      <c r="U6" s="68"/>
      <c r="V6" s="14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6"/>
    </row>
    <row r="7" spans="1:36" ht="22" customHeight="1" x14ac:dyDescent="0.25">
      <c r="A7" s="5"/>
      <c r="B7" s="72" t="s">
        <v>23</v>
      </c>
      <c r="C7" s="72"/>
      <c r="D7" s="72"/>
      <c r="E7" s="16" t="s">
        <v>8</v>
      </c>
      <c r="F7" s="16" t="s">
        <v>0</v>
      </c>
      <c r="G7" s="17" t="s">
        <v>8</v>
      </c>
      <c r="H7" s="17" t="s">
        <v>8</v>
      </c>
      <c r="I7" s="17" t="s">
        <v>8</v>
      </c>
      <c r="J7" s="17" t="s">
        <v>8</v>
      </c>
      <c r="K7" s="17" t="s">
        <v>8</v>
      </c>
      <c r="L7" s="19" t="s">
        <v>8</v>
      </c>
      <c r="M7" s="19" t="s">
        <v>9</v>
      </c>
      <c r="N7" s="18" t="s">
        <v>9</v>
      </c>
      <c r="O7" s="18" t="s">
        <v>8</v>
      </c>
      <c r="P7" s="18" t="s">
        <v>9</v>
      </c>
      <c r="Q7" s="18" t="s">
        <v>8</v>
      </c>
      <c r="R7" s="18" t="s">
        <v>8</v>
      </c>
      <c r="S7" s="18" t="s">
        <v>8</v>
      </c>
      <c r="T7" s="18" t="s">
        <v>8</v>
      </c>
      <c r="U7" s="18" t="s">
        <v>9</v>
      </c>
      <c r="V7" s="18" t="s">
        <v>8</v>
      </c>
      <c r="W7" s="18" t="s">
        <v>8</v>
      </c>
      <c r="X7" s="18" t="s">
        <v>8</v>
      </c>
      <c r="Y7" s="18" t="s">
        <v>9</v>
      </c>
      <c r="Z7" s="18" t="s">
        <v>0</v>
      </c>
      <c r="AA7" s="18" t="s">
        <v>0</v>
      </c>
      <c r="AB7" s="18" t="s">
        <v>8</v>
      </c>
      <c r="AC7" s="18" t="s">
        <v>8</v>
      </c>
      <c r="AD7" s="18" t="s">
        <v>8</v>
      </c>
      <c r="AE7" s="18" t="s">
        <v>8</v>
      </c>
      <c r="AF7" s="18" t="s">
        <v>8</v>
      </c>
      <c r="AG7" s="18" t="s">
        <v>8</v>
      </c>
      <c r="AH7" s="18" t="s">
        <v>0</v>
      </c>
      <c r="AI7" s="5"/>
    </row>
    <row r="8" spans="1:36" s="8" customFormat="1" ht="22" customHeight="1" thickBot="1" x14ac:dyDescent="0.3">
      <c r="A8" s="6"/>
      <c r="B8" s="65" t="s">
        <v>18</v>
      </c>
      <c r="C8" s="66"/>
      <c r="D8" s="7" t="s">
        <v>17</v>
      </c>
      <c r="E8" s="67" t="s">
        <v>11</v>
      </c>
      <c r="F8" s="68"/>
      <c r="G8" s="13">
        <f>COUNTIF(E7:AH7,"H")</f>
        <v>21</v>
      </c>
      <c r="H8" s="67" t="s">
        <v>12</v>
      </c>
      <c r="I8" s="68"/>
      <c r="J8" s="13">
        <f>COUNTIF(E7:AH7,"T")</f>
        <v>5</v>
      </c>
      <c r="K8" s="67" t="s">
        <v>13</v>
      </c>
      <c r="L8" s="68"/>
      <c r="M8" s="13">
        <f>COUNTIF(E7:AH7,"A") + COUNTIF(E7:AH7,"I")</f>
        <v>4</v>
      </c>
      <c r="N8" s="67" t="s">
        <v>14</v>
      </c>
      <c r="O8" s="68"/>
      <c r="P8" s="13">
        <f>IF((G8+J8+M8)=0,0,(G8+J8)/(G8+J8+M8)*100)</f>
        <v>86.666666666666671</v>
      </c>
      <c r="Q8" s="67"/>
      <c r="R8" s="68"/>
      <c r="S8" s="13"/>
      <c r="T8" s="67"/>
      <c r="U8" s="68"/>
      <c r="V8" s="14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6"/>
    </row>
    <row r="9" spans="1:36" ht="22" customHeight="1" x14ac:dyDescent="0.35">
      <c r="A9" s="2"/>
      <c r="B9" s="72" t="s">
        <v>24</v>
      </c>
      <c r="C9" s="72"/>
      <c r="D9" s="72"/>
      <c r="E9" s="16" t="s">
        <v>8</v>
      </c>
      <c r="F9" s="16" t="s">
        <v>8</v>
      </c>
      <c r="G9" s="17" t="s">
        <v>8</v>
      </c>
      <c r="H9" s="17" t="s">
        <v>8</v>
      </c>
      <c r="I9" s="17" t="s">
        <v>0</v>
      </c>
      <c r="J9" s="17" t="s">
        <v>8</v>
      </c>
      <c r="K9" s="17" t="s">
        <v>9</v>
      </c>
      <c r="L9" s="19" t="s">
        <v>8</v>
      </c>
      <c r="M9" s="19" t="s">
        <v>9</v>
      </c>
      <c r="N9" s="18" t="s">
        <v>8</v>
      </c>
      <c r="O9" s="18" t="s">
        <v>8</v>
      </c>
      <c r="P9" s="18" t="s">
        <v>9</v>
      </c>
      <c r="Q9" s="18" t="s">
        <v>8</v>
      </c>
      <c r="R9" s="18" t="s">
        <v>8</v>
      </c>
      <c r="S9" s="18" t="s">
        <v>9</v>
      </c>
      <c r="T9" s="18" t="s">
        <v>9</v>
      </c>
      <c r="U9" s="18" t="s">
        <v>9</v>
      </c>
      <c r="V9" s="18" t="s">
        <v>0</v>
      </c>
      <c r="W9" s="18" t="s">
        <v>8</v>
      </c>
      <c r="X9" s="18" t="s">
        <v>8</v>
      </c>
      <c r="Y9" s="18" t="s">
        <v>9</v>
      </c>
      <c r="Z9" s="18" t="s">
        <v>0</v>
      </c>
      <c r="AA9" s="18" t="s">
        <v>0</v>
      </c>
      <c r="AB9" s="18" t="s">
        <v>8</v>
      </c>
      <c r="AC9" s="18" t="s">
        <v>8</v>
      </c>
      <c r="AD9" s="18" t="s">
        <v>8</v>
      </c>
      <c r="AE9" s="18" t="s">
        <v>8</v>
      </c>
      <c r="AF9" s="18" t="s">
        <v>8</v>
      </c>
      <c r="AG9" s="18" t="s">
        <v>8</v>
      </c>
      <c r="AH9" s="18" t="s">
        <v>0</v>
      </c>
      <c r="AI9" s="2"/>
    </row>
    <row r="10" spans="1:36" s="8" customFormat="1" ht="22" customHeight="1" thickBot="1" x14ac:dyDescent="0.3">
      <c r="A10" s="6"/>
      <c r="B10" s="65" t="s">
        <v>18</v>
      </c>
      <c r="C10" s="66"/>
      <c r="D10" s="7" t="s">
        <v>17</v>
      </c>
      <c r="E10" s="67" t="s">
        <v>11</v>
      </c>
      <c r="F10" s="68"/>
      <c r="G10" s="13">
        <f>COUNTIF(E9:AH9,"H")</f>
        <v>18</v>
      </c>
      <c r="H10" s="67" t="s">
        <v>12</v>
      </c>
      <c r="I10" s="68"/>
      <c r="J10" s="13">
        <f>COUNTIF(E9:AH9,"T")</f>
        <v>7</v>
      </c>
      <c r="K10" s="67" t="s">
        <v>13</v>
      </c>
      <c r="L10" s="68"/>
      <c r="M10" s="13">
        <f>COUNTIF(E9:AH9,"A") + COUNTIF(E9:AH9,"I")</f>
        <v>5</v>
      </c>
      <c r="N10" s="67" t="s">
        <v>14</v>
      </c>
      <c r="O10" s="68"/>
      <c r="P10" s="13">
        <f>IF((G10+J10+M10)=0,0,(G10+J10)/(G10+J10+M10)*100)</f>
        <v>83.333333333333343</v>
      </c>
      <c r="Q10" s="67"/>
      <c r="R10" s="68"/>
      <c r="S10" s="13"/>
      <c r="T10" s="67"/>
      <c r="U10" s="68"/>
      <c r="V10" s="14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6"/>
    </row>
    <row r="11" spans="1:36" s="10" customFormat="1" ht="22" customHeight="1" x14ac:dyDescent="0.25">
      <c r="A11" s="9"/>
      <c r="B11" s="72" t="s">
        <v>25</v>
      </c>
      <c r="C11" s="72"/>
      <c r="D11" s="72"/>
      <c r="E11" s="16" t="s">
        <v>8</v>
      </c>
      <c r="F11" s="16" t="s">
        <v>0</v>
      </c>
      <c r="G11" s="17" t="s">
        <v>8</v>
      </c>
      <c r="H11" s="17" t="s">
        <v>8</v>
      </c>
      <c r="I11" s="17" t="s">
        <v>8</v>
      </c>
      <c r="J11" s="17" t="s">
        <v>8</v>
      </c>
      <c r="K11" s="17" t="s">
        <v>8</v>
      </c>
      <c r="L11" s="19" t="s">
        <v>8</v>
      </c>
      <c r="M11" s="19" t="s">
        <v>8</v>
      </c>
      <c r="N11" s="18" t="s">
        <v>8</v>
      </c>
      <c r="O11" s="18" t="s">
        <v>8</v>
      </c>
      <c r="P11" s="18" t="s">
        <v>8</v>
      </c>
      <c r="Q11" s="18" t="s">
        <v>8</v>
      </c>
      <c r="R11" s="18" t="s">
        <v>8</v>
      </c>
      <c r="S11" s="18" t="s">
        <v>8</v>
      </c>
      <c r="T11" s="18" t="s">
        <v>8</v>
      </c>
      <c r="U11" s="18" t="s">
        <v>9</v>
      </c>
      <c r="V11" s="18" t="s">
        <v>8</v>
      </c>
      <c r="W11" s="18" t="s">
        <v>8</v>
      </c>
      <c r="X11" s="18" t="s">
        <v>8</v>
      </c>
      <c r="Y11" s="18" t="s">
        <v>8</v>
      </c>
      <c r="Z11" s="18" t="s">
        <v>8</v>
      </c>
      <c r="AA11" s="18" t="s">
        <v>8</v>
      </c>
      <c r="AB11" s="18" t="s">
        <v>8</v>
      </c>
      <c r="AC11" s="18" t="s">
        <v>8</v>
      </c>
      <c r="AD11" s="18" t="s">
        <v>8</v>
      </c>
      <c r="AE11" s="18" t="s">
        <v>8</v>
      </c>
      <c r="AF11" s="18" t="s">
        <v>8</v>
      </c>
      <c r="AG11" s="18" t="s">
        <v>8</v>
      </c>
      <c r="AH11" s="18" t="s">
        <v>0</v>
      </c>
      <c r="AI11" s="9"/>
    </row>
    <row r="12" spans="1:36" s="8" customFormat="1" ht="22" customHeight="1" thickBot="1" x14ac:dyDescent="0.3">
      <c r="A12" s="6"/>
      <c r="B12" s="65" t="s">
        <v>18</v>
      </c>
      <c r="C12" s="66"/>
      <c r="D12" s="7" t="s">
        <v>17</v>
      </c>
      <c r="E12" s="67" t="s">
        <v>11</v>
      </c>
      <c r="F12" s="68"/>
      <c r="G12" s="13">
        <f>COUNTIF(E11:AH11,"H")</f>
        <v>27</v>
      </c>
      <c r="H12" s="67" t="s">
        <v>12</v>
      </c>
      <c r="I12" s="68"/>
      <c r="J12" s="13">
        <f>COUNTIF(E11:AH11,"T")</f>
        <v>1</v>
      </c>
      <c r="K12" s="67" t="s">
        <v>13</v>
      </c>
      <c r="L12" s="68"/>
      <c r="M12" s="13">
        <f>COUNTIF(E11:AH11,"A") + COUNTIF(E11:AH11,"I")</f>
        <v>2</v>
      </c>
      <c r="N12" s="67" t="s">
        <v>14</v>
      </c>
      <c r="O12" s="68"/>
      <c r="P12" s="13">
        <f>IF((G12+J12+M12)=0,0,(G12+J12)/(G12+J12+M12)*100)</f>
        <v>93.333333333333329</v>
      </c>
      <c r="Q12" s="67"/>
      <c r="R12" s="68"/>
      <c r="S12" s="13"/>
      <c r="T12" s="67"/>
      <c r="U12" s="68"/>
      <c r="V12" s="14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6"/>
    </row>
    <row r="13" spans="1:36" s="10" customFormat="1" ht="22" customHeight="1" x14ac:dyDescent="0.25">
      <c r="A13" s="9"/>
      <c r="B13" s="72" t="s">
        <v>26</v>
      </c>
      <c r="C13" s="72"/>
      <c r="D13" s="72"/>
      <c r="E13" s="16" t="s">
        <v>8</v>
      </c>
      <c r="F13" s="16" t="s">
        <v>8</v>
      </c>
      <c r="G13" s="17" t="s">
        <v>8</v>
      </c>
      <c r="H13" s="17" t="s">
        <v>8</v>
      </c>
      <c r="I13" s="17" t="s">
        <v>8</v>
      </c>
      <c r="J13" s="17" t="s">
        <v>0</v>
      </c>
      <c r="K13" s="17" t="s">
        <v>8</v>
      </c>
      <c r="L13" s="19" t="s">
        <v>8</v>
      </c>
      <c r="M13" s="19" t="s">
        <v>8</v>
      </c>
      <c r="N13" s="18" t="s">
        <v>8</v>
      </c>
      <c r="O13" s="18" t="s">
        <v>8</v>
      </c>
      <c r="P13" s="18" t="s">
        <v>9</v>
      </c>
      <c r="Q13" s="18" t="s">
        <v>8</v>
      </c>
      <c r="R13" s="18" t="s">
        <v>8</v>
      </c>
      <c r="S13" s="18" t="s">
        <v>8</v>
      </c>
      <c r="T13" s="18" t="s">
        <v>0</v>
      </c>
      <c r="U13" s="18" t="s">
        <v>9</v>
      </c>
      <c r="V13" s="18" t="s">
        <v>8</v>
      </c>
      <c r="W13" s="18" t="s">
        <v>8</v>
      </c>
      <c r="X13" s="18" t="s">
        <v>0</v>
      </c>
      <c r="Y13" s="18" t="s">
        <v>9</v>
      </c>
      <c r="Z13" s="18" t="s">
        <v>8</v>
      </c>
      <c r="AA13" s="18" t="s">
        <v>8</v>
      </c>
      <c r="AB13" s="18" t="s">
        <v>8</v>
      </c>
      <c r="AC13" s="18" t="s">
        <v>8</v>
      </c>
      <c r="AD13" s="18" t="s">
        <v>8</v>
      </c>
      <c r="AE13" s="18" t="s">
        <v>8</v>
      </c>
      <c r="AF13" s="18" t="s">
        <v>8</v>
      </c>
      <c r="AG13" s="18" t="s">
        <v>8</v>
      </c>
      <c r="AH13" s="18" t="s">
        <v>0</v>
      </c>
      <c r="AI13" s="9"/>
    </row>
    <row r="14" spans="1:36" s="8" customFormat="1" ht="22" customHeight="1" thickBot="1" x14ac:dyDescent="0.3">
      <c r="A14" s="6"/>
      <c r="B14" s="65" t="s">
        <v>18</v>
      </c>
      <c r="C14" s="66"/>
      <c r="D14" s="7" t="s">
        <v>17</v>
      </c>
      <c r="E14" s="67" t="s">
        <v>11</v>
      </c>
      <c r="F14" s="68"/>
      <c r="G14" s="13">
        <f>COUNTIF(E13:AH13,"H")</f>
        <v>23</v>
      </c>
      <c r="H14" s="67" t="s">
        <v>12</v>
      </c>
      <c r="I14" s="68"/>
      <c r="J14" s="13">
        <f>COUNTIF(E13:AH13,"T")</f>
        <v>3</v>
      </c>
      <c r="K14" s="67" t="s">
        <v>13</v>
      </c>
      <c r="L14" s="68"/>
      <c r="M14" s="13">
        <f>COUNTIF(E13:AH13,"A") + COUNTIF(E13:AH13,"I")</f>
        <v>4</v>
      </c>
      <c r="N14" s="67" t="s">
        <v>14</v>
      </c>
      <c r="O14" s="68"/>
      <c r="P14" s="13">
        <f>IF((G14+J14+M14)=0,0,(G14+J14)/(G14+J14+M14)*100)</f>
        <v>86.666666666666671</v>
      </c>
      <c r="Q14" s="67"/>
      <c r="R14" s="68"/>
      <c r="S14" s="13"/>
      <c r="T14" s="67"/>
      <c r="U14" s="68"/>
      <c r="V14" s="14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6"/>
    </row>
    <row r="15" spans="1:36" s="10" customFormat="1" ht="22" customHeight="1" x14ac:dyDescent="0.25">
      <c r="A15" s="9"/>
      <c r="B15" s="72" t="s">
        <v>27</v>
      </c>
      <c r="C15" s="72"/>
      <c r="D15" s="72"/>
      <c r="E15" s="16" t="s">
        <v>8</v>
      </c>
      <c r="F15" s="16" t="s">
        <v>0</v>
      </c>
      <c r="G15" s="17" t="s">
        <v>8</v>
      </c>
      <c r="H15" s="17" t="s">
        <v>8</v>
      </c>
      <c r="I15" s="17" t="s">
        <v>8</v>
      </c>
      <c r="J15" s="17" t="s">
        <v>8</v>
      </c>
      <c r="K15" s="17" t="s">
        <v>8</v>
      </c>
      <c r="L15" s="19" t="s">
        <v>8</v>
      </c>
      <c r="M15" s="19" t="s">
        <v>9</v>
      </c>
      <c r="N15" s="18" t="s">
        <v>9</v>
      </c>
      <c r="O15" s="18" t="s">
        <v>8</v>
      </c>
      <c r="P15" s="18" t="s">
        <v>9</v>
      </c>
      <c r="Q15" s="18" t="s">
        <v>8</v>
      </c>
      <c r="R15" s="18" t="s">
        <v>8</v>
      </c>
      <c r="S15" s="18" t="s">
        <v>8</v>
      </c>
      <c r="T15" s="18" t="s">
        <v>8</v>
      </c>
      <c r="U15" s="18" t="s">
        <v>9</v>
      </c>
      <c r="V15" s="18" t="s">
        <v>8</v>
      </c>
      <c r="W15" s="18" t="s">
        <v>8</v>
      </c>
      <c r="X15" s="18" t="s">
        <v>8</v>
      </c>
      <c r="Y15" s="18" t="s">
        <v>9</v>
      </c>
      <c r="Z15" s="18" t="s">
        <v>0</v>
      </c>
      <c r="AA15" s="18" t="s">
        <v>0</v>
      </c>
      <c r="AB15" s="18" t="s">
        <v>8</v>
      </c>
      <c r="AC15" s="18" t="s">
        <v>8</v>
      </c>
      <c r="AD15" s="18" t="s">
        <v>8</v>
      </c>
      <c r="AE15" s="18" t="s">
        <v>8</v>
      </c>
      <c r="AF15" s="18" t="s">
        <v>8</v>
      </c>
      <c r="AG15" s="18" t="s">
        <v>8</v>
      </c>
      <c r="AH15" s="18" t="s">
        <v>0</v>
      </c>
      <c r="AI15" s="9"/>
    </row>
    <row r="16" spans="1:36" s="8" customFormat="1" ht="22" customHeight="1" thickBot="1" x14ac:dyDescent="0.3">
      <c r="A16" s="6"/>
      <c r="B16" s="65" t="s">
        <v>18</v>
      </c>
      <c r="C16" s="66"/>
      <c r="D16" s="7" t="s">
        <v>17</v>
      </c>
      <c r="E16" s="67" t="s">
        <v>11</v>
      </c>
      <c r="F16" s="68"/>
      <c r="G16" s="13">
        <f>COUNTIF(E15:AH15,"H")</f>
        <v>21</v>
      </c>
      <c r="H16" s="67" t="s">
        <v>12</v>
      </c>
      <c r="I16" s="68"/>
      <c r="J16" s="13">
        <f>COUNTIF(E15:AH15,"T")</f>
        <v>5</v>
      </c>
      <c r="K16" s="67" t="s">
        <v>13</v>
      </c>
      <c r="L16" s="68"/>
      <c r="M16" s="13">
        <f>COUNTIF(E15:AH15,"A") + COUNTIF(E15:AH15,"I")</f>
        <v>4</v>
      </c>
      <c r="N16" s="67" t="s">
        <v>14</v>
      </c>
      <c r="O16" s="68"/>
      <c r="P16" s="13">
        <f>IF((G16+J16+M16)=0,0,(G16+J16)/(G16+J16+M16)*100)</f>
        <v>86.666666666666671</v>
      </c>
      <c r="Q16" s="67"/>
      <c r="R16" s="68"/>
      <c r="S16" s="13"/>
      <c r="T16" s="67"/>
      <c r="U16" s="68"/>
      <c r="V16" s="14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6"/>
    </row>
    <row r="17" spans="1:35" s="10" customFormat="1" ht="22" customHeight="1" x14ac:dyDescent="0.25">
      <c r="A17" s="9"/>
      <c r="B17" s="72" t="s">
        <v>28</v>
      </c>
      <c r="C17" s="72"/>
      <c r="D17" s="72"/>
      <c r="E17" s="16" t="s">
        <v>8</v>
      </c>
      <c r="F17" s="16" t="s">
        <v>0</v>
      </c>
      <c r="G17" s="17" t="s">
        <v>8</v>
      </c>
      <c r="H17" s="17" t="s">
        <v>8</v>
      </c>
      <c r="I17" s="17" t="s">
        <v>8</v>
      </c>
      <c r="J17" s="17" t="s">
        <v>8</v>
      </c>
      <c r="K17" s="17" t="s">
        <v>8</v>
      </c>
      <c r="L17" s="19" t="s">
        <v>8</v>
      </c>
      <c r="M17" s="19" t="s">
        <v>9</v>
      </c>
      <c r="N17" s="18" t="s">
        <v>9</v>
      </c>
      <c r="O17" s="18" t="s">
        <v>8</v>
      </c>
      <c r="P17" s="18" t="s">
        <v>9</v>
      </c>
      <c r="Q17" s="18" t="s">
        <v>8</v>
      </c>
      <c r="R17" s="18" t="s">
        <v>8</v>
      </c>
      <c r="S17" s="18" t="s">
        <v>8</v>
      </c>
      <c r="T17" s="18" t="s">
        <v>8</v>
      </c>
      <c r="U17" s="18" t="s">
        <v>9</v>
      </c>
      <c r="V17" s="18" t="s">
        <v>8</v>
      </c>
      <c r="W17" s="18" t="s">
        <v>8</v>
      </c>
      <c r="X17" s="18" t="s">
        <v>8</v>
      </c>
      <c r="Y17" s="18" t="s">
        <v>9</v>
      </c>
      <c r="Z17" s="18" t="s">
        <v>0</v>
      </c>
      <c r="AA17" s="18" t="s">
        <v>0</v>
      </c>
      <c r="AB17" s="18" t="s">
        <v>8</v>
      </c>
      <c r="AC17" s="18" t="s">
        <v>8</v>
      </c>
      <c r="AD17" s="18" t="s">
        <v>8</v>
      </c>
      <c r="AE17" s="18" t="s">
        <v>8</v>
      </c>
      <c r="AF17" s="18" t="s">
        <v>8</v>
      </c>
      <c r="AG17" s="18" t="s">
        <v>8</v>
      </c>
      <c r="AH17" s="18" t="s">
        <v>0</v>
      </c>
      <c r="AI17" s="9"/>
    </row>
    <row r="18" spans="1:35" s="8" customFormat="1" ht="22" customHeight="1" thickBot="1" x14ac:dyDescent="0.3">
      <c r="A18" s="6"/>
      <c r="B18" s="65" t="s">
        <v>18</v>
      </c>
      <c r="C18" s="66"/>
      <c r="D18" s="7" t="s">
        <v>17</v>
      </c>
      <c r="E18" s="67" t="s">
        <v>11</v>
      </c>
      <c r="F18" s="68"/>
      <c r="G18" s="13">
        <f>COUNTIF(E17:AH17,"H")</f>
        <v>21</v>
      </c>
      <c r="H18" s="67" t="s">
        <v>12</v>
      </c>
      <c r="I18" s="68"/>
      <c r="J18" s="13">
        <f>COUNTIF(E17:AH17,"T")</f>
        <v>5</v>
      </c>
      <c r="K18" s="67" t="s">
        <v>13</v>
      </c>
      <c r="L18" s="68"/>
      <c r="M18" s="13">
        <f>COUNTIF(E17:AH17,"A") + COUNTIF(E17:AH17,"I")</f>
        <v>4</v>
      </c>
      <c r="N18" s="67" t="s">
        <v>14</v>
      </c>
      <c r="O18" s="68"/>
      <c r="P18" s="13">
        <f>IF((G18+J18+M18)=0,0,(G18+J18)/(G18+J18+M18)*100)</f>
        <v>86.666666666666671</v>
      </c>
      <c r="Q18" s="67"/>
      <c r="R18" s="68"/>
      <c r="S18" s="13"/>
      <c r="T18" s="67"/>
      <c r="U18" s="68"/>
      <c r="V18" s="14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6"/>
    </row>
    <row r="19" spans="1:35" s="10" customFormat="1" ht="22" customHeight="1" x14ac:dyDescent="0.25">
      <c r="A19" s="9"/>
      <c r="B19" s="72" t="s">
        <v>29</v>
      </c>
      <c r="C19" s="72"/>
      <c r="D19" s="72"/>
      <c r="E19" s="16" t="s">
        <v>8</v>
      </c>
      <c r="F19" s="16" t="s">
        <v>0</v>
      </c>
      <c r="G19" s="17" t="s">
        <v>8</v>
      </c>
      <c r="H19" s="17" t="s">
        <v>8</v>
      </c>
      <c r="I19" s="17" t="s">
        <v>8</v>
      </c>
      <c r="J19" s="17" t="s">
        <v>8</v>
      </c>
      <c r="K19" s="17" t="s">
        <v>8</v>
      </c>
      <c r="L19" s="19" t="s">
        <v>8</v>
      </c>
      <c r="M19" s="19" t="s">
        <v>9</v>
      </c>
      <c r="N19" s="18" t="s">
        <v>9</v>
      </c>
      <c r="O19" s="18" t="s">
        <v>8</v>
      </c>
      <c r="P19" s="18" t="s">
        <v>9</v>
      </c>
      <c r="Q19" s="18" t="s">
        <v>8</v>
      </c>
      <c r="R19" s="18" t="s">
        <v>8</v>
      </c>
      <c r="S19" s="18" t="s">
        <v>8</v>
      </c>
      <c r="T19" s="18" t="s">
        <v>8</v>
      </c>
      <c r="U19" s="18" t="s">
        <v>9</v>
      </c>
      <c r="V19" s="18" t="s">
        <v>8</v>
      </c>
      <c r="W19" s="18" t="s">
        <v>8</v>
      </c>
      <c r="X19" s="18" t="s">
        <v>8</v>
      </c>
      <c r="Y19" s="18" t="s">
        <v>9</v>
      </c>
      <c r="Z19" s="18" t="s">
        <v>0</v>
      </c>
      <c r="AA19" s="18" t="s">
        <v>0</v>
      </c>
      <c r="AB19" s="18" t="s">
        <v>8</v>
      </c>
      <c r="AC19" s="18" t="s">
        <v>8</v>
      </c>
      <c r="AD19" s="18" t="s">
        <v>8</v>
      </c>
      <c r="AE19" s="18" t="s">
        <v>8</v>
      </c>
      <c r="AF19" s="18" t="s">
        <v>8</v>
      </c>
      <c r="AG19" s="18" t="s">
        <v>8</v>
      </c>
      <c r="AH19" s="18" t="s">
        <v>0</v>
      </c>
      <c r="AI19" s="9"/>
    </row>
    <row r="20" spans="1:35" s="8" customFormat="1" ht="22" customHeight="1" thickBot="1" x14ac:dyDescent="0.3">
      <c r="A20" s="6"/>
      <c r="B20" s="65" t="s">
        <v>18</v>
      </c>
      <c r="C20" s="66"/>
      <c r="D20" s="7" t="s">
        <v>17</v>
      </c>
      <c r="E20" s="67" t="s">
        <v>11</v>
      </c>
      <c r="F20" s="68"/>
      <c r="G20" s="13">
        <f>COUNTIF(E19:AH19,"H")</f>
        <v>21</v>
      </c>
      <c r="H20" s="67" t="s">
        <v>12</v>
      </c>
      <c r="I20" s="68"/>
      <c r="J20" s="13">
        <f>COUNTIF(E19:AH19,"T")</f>
        <v>5</v>
      </c>
      <c r="K20" s="67" t="s">
        <v>13</v>
      </c>
      <c r="L20" s="68"/>
      <c r="M20" s="13">
        <f>COUNTIF(E19:AH19,"A") + COUNTIF(E19:AH19,"I")</f>
        <v>4</v>
      </c>
      <c r="N20" s="67" t="s">
        <v>14</v>
      </c>
      <c r="O20" s="68"/>
      <c r="P20" s="13">
        <f>IF((G20+J20+M20)=0,0,(G20+J20)/(G20+J20+M20)*100)</f>
        <v>86.666666666666671</v>
      </c>
      <c r="Q20" s="67"/>
      <c r="R20" s="68"/>
      <c r="S20" s="13"/>
      <c r="T20" s="67"/>
      <c r="U20" s="68"/>
      <c r="V20" s="14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6"/>
    </row>
    <row r="21" spans="1:35" ht="22" customHeight="1" x14ac:dyDescent="0.35">
      <c r="A21" s="2"/>
      <c r="B21" s="72" t="s">
        <v>30</v>
      </c>
      <c r="C21" s="72"/>
      <c r="D21" s="72"/>
      <c r="E21" s="16" t="s">
        <v>8</v>
      </c>
      <c r="F21" s="16" t="s">
        <v>0</v>
      </c>
      <c r="G21" s="17" t="s">
        <v>8</v>
      </c>
      <c r="H21" s="17" t="s">
        <v>8</v>
      </c>
      <c r="I21" s="17" t="s">
        <v>8</v>
      </c>
      <c r="J21" s="17" t="s">
        <v>8</v>
      </c>
      <c r="K21" s="17" t="s">
        <v>8</v>
      </c>
      <c r="L21" s="19" t="s">
        <v>8</v>
      </c>
      <c r="M21" s="19" t="s">
        <v>9</v>
      </c>
      <c r="N21" s="18" t="s">
        <v>9</v>
      </c>
      <c r="O21" s="18" t="s">
        <v>8</v>
      </c>
      <c r="P21" s="18" t="s">
        <v>9</v>
      </c>
      <c r="Q21" s="18" t="s">
        <v>8</v>
      </c>
      <c r="R21" s="18" t="s">
        <v>8</v>
      </c>
      <c r="S21" s="18" t="s">
        <v>8</v>
      </c>
      <c r="T21" s="18" t="s">
        <v>8</v>
      </c>
      <c r="U21" s="18" t="s">
        <v>9</v>
      </c>
      <c r="V21" s="18" t="s">
        <v>8</v>
      </c>
      <c r="W21" s="18" t="s">
        <v>8</v>
      </c>
      <c r="X21" s="18" t="s">
        <v>8</v>
      </c>
      <c r="Y21" s="18" t="s">
        <v>9</v>
      </c>
      <c r="Z21" s="18" t="s">
        <v>0</v>
      </c>
      <c r="AA21" s="18" t="s">
        <v>0</v>
      </c>
      <c r="AB21" s="18" t="s">
        <v>8</v>
      </c>
      <c r="AC21" s="18" t="s">
        <v>8</v>
      </c>
      <c r="AD21" s="18" t="s">
        <v>8</v>
      </c>
      <c r="AE21" s="18" t="s">
        <v>8</v>
      </c>
      <c r="AF21" s="18" t="s">
        <v>8</v>
      </c>
      <c r="AG21" s="18" t="s">
        <v>8</v>
      </c>
      <c r="AH21" s="18" t="s">
        <v>0</v>
      </c>
      <c r="AI21" s="2"/>
    </row>
    <row r="22" spans="1:35" s="8" customFormat="1" ht="22" customHeight="1" thickBot="1" x14ac:dyDescent="0.3">
      <c r="A22" s="6"/>
      <c r="B22" s="65" t="s">
        <v>18</v>
      </c>
      <c r="C22" s="66"/>
      <c r="D22" s="7" t="s">
        <v>17</v>
      </c>
      <c r="E22" s="67" t="s">
        <v>11</v>
      </c>
      <c r="F22" s="68"/>
      <c r="G22" s="13">
        <f>COUNTIF(E21:AH21,"H")</f>
        <v>21</v>
      </c>
      <c r="H22" s="67" t="s">
        <v>12</v>
      </c>
      <c r="I22" s="68"/>
      <c r="J22" s="13">
        <f>COUNTIF(E21:AH21,"T")</f>
        <v>5</v>
      </c>
      <c r="K22" s="67" t="s">
        <v>13</v>
      </c>
      <c r="L22" s="68"/>
      <c r="M22" s="13">
        <f>COUNTIF(E21:AH21,"A") + COUNTIF(E21:AH21,"I")</f>
        <v>4</v>
      </c>
      <c r="N22" s="67" t="s">
        <v>14</v>
      </c>
      <c r="O22" s="68"/>
      <c r="P22" s="13">
        <f>IF((G22+J22+M22)=0,0,(G22+J22)/(G22+J22+M22)*100)</f>
        <v>86.666666666666671</v>
      </c>
      <c r="Q22" s="67"/>
      <c r="R22" s="68"/>
      <c r="S22" s="13"/>
      <c r="T22" s="67"/>
      <c r="U22" s="68"/>
      <c r="V22" s="14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6"/>
    </row>
    <row r="23" spans="1:35" ht="22" customHeight="1" x14ac:dyDescent="0.35">
      <c r="A23" s="2"/>
      <c r="B23" s="72" t="s">
        <v>31</v>
      </c>
      <c r="C23" s="72"/>
      <c r="D23" s="72"/>
      <c r="E23" s="16" t="s">
        <v>8</v>
      </c>
      <c r="F23" s="16" t="s">
        <v>0</v>
      </c>
      <c r="G23" s="17" t="s">
        <v>8</v>
      </c>
      <c r="H23" s="17" t="s">
        <v>8</v>
      </c>
      <c r="I23" s="17" t="s">
        <v>8</v>
      </c>
      <c r="J23" s="17" t="s">
        <v>8</v>
      </c>
      <c r="K23" s="17" t="s">
        <v>8</v>
      </c>
      <c r="L23" s="19" t="s">
        <v>8</v>
      </c>
      <c r="M23" s="19" t="s">
        <v>9</v>
      </c>
      <c r="N23" s="18" t="s">
        <v>9</v>
      </c>
      <c r="O23" s="18" t="s">
        <v>8</v>
      </c>
      <c r="P23" s="18" t="s">
        <v>9</v>
      </c>
      <c r="Q23" s="18" t="s">
        <v>8</v>
      </c>
      <c r="R23" s="18" t="s">
        <v>8</v>
      </c>
      <c r="S23" s="18" t="s">
        <v>8</v>
      </c>
      <c r="T23" s="18" t="s">
        <v>8</v>
      </c>
      <c r="U23" s="18" t="s">
        <v>9</v>
      </c>
      <c r="V23" s="18" t="s">
        <v>8</v>
      </c>
      <c r="W23" s="18" t="s">
        <v>8</v>
      </c>
      <c r="X23" s="18" t="s">
        <v>8</v>
      </c>
      <c r="Y23" s="18" t="s">
        <v>9</v>
      </c>
      <c r="Z23" s="18" t="s">
        <v>0</v>
      </c>
      <c r="AA23" s="18" t="s">
        <v>0</v>
      </c>
      <c r="AB23" s="18" t="s">
        <v>8</v>
      </c>
      <c r="AC23" s="18" t="s">
        <v>8</v>
      </c>
      <c r="AD23" s="18" t="s">
        <v>8</v>
      </c>
      <c r="AE23" s="18" t="s">
        <v>8</v>
      </c>
      <c r="AF23" s="18" t="s">
        <v>8</v>
      </c>
      <c r="AG23" s="18" t="s">
        <v>8</v>
      </c>
      <c r="AH23" s="18" t="s">
        <v>0</v>
      </c>
      <c r="AI23" s="2"/>
    </row>
    <row r="24" spans="1:35" s="8" customFormat="1" ht="22" customHeight="1" thickBot="1" x14ac:dyDescent="0.3">
      <c r="A24" s="6"/>
      <c r="B24" s="65" t="s">
        <v>18</v>
      </c>
      <c r="C24" s="66"/>
      <c r="D24" s="7" t="s">
        <v>17</v>
      </c>
      <c r="E24" s="67" t="s">
        <v>11</v>
      </c>
      <c r="F24" s="68"/>
      <c r="G24" s="13">
        <f>COUNTIF(E23:AH23,"H")</f>
        <v>21</v>
      </c>
      <c r="H24" s="67" t="s">
        <v>12</v>
      </c>
      <c r="I24" s="68"/>
      <c r="J24" s="13">
        <f>COUNTIF(E23:AH23,"T")</f>
        <v>5</v>
      </c>
      <c r="K24" s="67" t="s">
        <v>13</v>
      </c>
      <c r="L24" s="68"/>
      <c r="M24" s="13">
        <f>COUNTIF(E23:AH23,"A") + COUNTIF(E23:AH23,"I")</f>
        <v>4</v>
      </c>
      <c r="N24" s="67" t="s">
        <v>14</v>
      </c>
      <c r="O24" s="68"/>
      <c r="P24" s="13">
        <f>IF((G24+J24+M24)=0,0,(G24+J24)/(G24+J24+M24)*100)</f>
        <v>86.666666666666671</v>
      </c>
      <c r="Q24" s="67"/>
      <c r="R24" s="68"/>
      <c r="S24" s="13"/>
      <c r="T24" s="67"/>
      <c r="U24" s="68"/>
      <c r="V24" s="14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6"/>
    </row>
    <row r="25" spans="1:35" s="10" customFormat="1" ht="22" customHeight="1" x14ac:dyDescent="0.25">
      <c r="A25" s="9"/>
      <c r="B25" s="72" t="s">
        <v>32</v>
      </c>
      <c r="C25" s="72"/>
      <c r="D25" s="72"/>
      <c r="E25" s="16" t="s">
        <v>8</v>
      </c>
      <c r="F25" s="16" t="s">
        <v>0</v>
      </c>
      <c r="G25" s="17" t="s">
        <v>8</v>
      </c>
      <c r="H25" s="17" t="s">
        <v>8</v>
      </c>
      <c r="I25" s="17" t="s">
        <v>8</v>
      </c>
      <c r="J25" s="17" t="s">
        <v>8</v>
      </c>
      <c r="K25" s="17" t="s">
        <v>8</v>
      </c>
      <c r="L25" s="19" t="s">
        <v>8</v>
      </c>
      <c r="M25" s="19" t="s">
        <v>9</v>
      </c>
      <c r="N25" s="18" t="s">
        <v>9</v>
      </c>
      <c r="O25" s="18" t="s">
        <v>8</v>
      </c>
      <c r="P25" s="18" t="s">
        <v>9</v>
      </c>
      <c r="Q25" s="18" t="s">
        <v>8</v>
      </c>
      <c r="R25" s="18" t="s">
        <v>8</v>
      </c>
      <c r="S25" s="18" t="s">
        <v>8</v>
      </c>
      <c r="T25" s="18" t="s">
        <v>8</v>
      </c>
      <c r="U25" s="18" t="s">
        <v>9</v>
      </c>
      <c r="V25" s="18" t="s">
        <v>8</v>
      </c>
      <c r="W25" s="18" t="s">
        <v>8</v>
      </c>
      <c r="X25" s="18" t="s">
        <v>8</v>
      </c>
      <c r="Y25" s="18" t="s">
        <v>9</v>
      </c>
      <c r="Z25" s="18" t="s">
        <v>0</v>
      </c>
      <c r="AA25" s="18" t="s">
        <v>0</v>
      </c>
      <c r="AB25" s="18" t="s">
        <v>8</v>
      </c>
      <c r="AC25" s="18" t="s">
        <v>8</v>
      </c>
      <c r="AD25" s="18" t="s">
        <v>8</v>
      </c>
      <c r="AE25" s="18" t="s">
        <v>8</v>
      </c>
      <c r="AF25" s="18" t="s">
        <v>8</v>
      </c>
      <c r="AG25" s="18" t="s">
        <v>8</v>
      </c>
      <c r="AH25" s="18" t="s">
        <v>0</v>
      </c>
      <c r="AI25" s="9"/>
    </row>
    <row r="26" spans="1:35" s="8" customFormat="1" ht="22" customHeight="1" thickBot="1" x14ac:dyDescent="0.3">
      <c r="A26" s="6"/>
      <c r="B26" s="65" t="s">
        <v>18</v>
      </c>
      <c r="C26" s="66"/>
      <c r="D26" s="7" t="s">
        <v>17</v>
      </c>
      <c r="E26" s="67" t="s">
        <v>11</v>
      </c>
      <c r="F26" s="68"/>
      <c r="G26" s="13">
        <f>COUNTIF(E25:AH25,"H")</f>
        <v>21</v>
      </c>
      <c r="H26" s="67" t="s">
        <v>12</v>
      </c>
      <c r="I26" s="68"/>
      <c r="J26" s="13">
        <f>COUNTIF(E25:AH25,"T")</f>
        <v>5</v>
      </c>
      <c r="K26" s="67" t="s">
        <v>13</v>
      </c>
      <c r="L26" s="68"/>
      <c r="M26" s="13">
        <f>COUNTIF(E25:AH25,"A") + COUNTIF(E25:AH25,"I")</f>
        <v>4</v>
      </c>
      <c r="N26" s="67" t="s">
        <v>14</v>
      </c>
      <c r="O26" s="68"/>
      <c r="P26" s="13">
        <f>IF((G26+J26+M26)=0,0,(G26+J26)/(G26+J26+M26)*100)</f>
        <v>86.666666666666671</v>
      </c>
      <c r="Q26" s="67"/>
      <c r="R26" s="68"/>
      <c r="S26" s="13"/>
      <c r="T26" s="67"/>
      <c r="U26" s="68"/>
      <c r="V26" s="14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6"/>
    </row>
    <row r="27" spans="1:35" ht="22" customHeight="1" x14ac:dyDescent="0.35">
      <c r="A27" s="2"/>
      <c r="B27" s="72" t="s">
        <v>33</v>
      </c>
      <c r="C27" s="72"/>
      <c r="D27" s="72"/>
      <c r="E27" s="16" t="s">
        <v>8</v>
      </c>
      <c r="F27" s="16" t="s">
        <v>0</v>
      </c>
      <c r="G27" s="17" t="s">
        <v>8</v>
      </c>
      <c r="H27" s="17" t="s">
        <v>8</v>
      </c>
      <c r="I27" s="17" t="s">
        <v>8</v>
      </c>
      <c r="J27" s="17" t="s">
        <v>8</v>
      </c>
      <c r="K27" s="17" t="s">
        <v>8</v>
      </c>
      <c r="L27" s="19" t="s">
        <v>8</v>
      </c>
      <c r="M27" s="19" t="s">
        <v>9</v>
      </c>
      <c r="N27" s="18" t="s">
        <v>9</v>
      </c>
      <c r="O27" s="18" t="s">
        <v>8</v>
      </c>
      <c r="P27" s="18" t="s">
        <v>9</v>
      </c>
      <c r="Q27" s="18" t="s">
        <v>8</v>
      </c>
      <c r="R27" s="18" t="s">
        <v>8</v>
      </c>
      <c r="S27" s="18" t="s">
        <v>8</v>
      </c>
      <c r="T27" s="18" t="s">
        <v>8</v>
      </c>
      <c r="U27" s="18" t="s">
        <v>9</v>
      </c>
      <c r="V27" s="18" t="s">
        <v>8</v>
      </c>
      <c r="W27" s="18" t="s">
        <v>8</v>
      </c>
      <c r="X27" s="18" t="s">
        <v>8</v>
      </c>
      <c r="Y27" s="18" t="s">
        <v>9</v>
      </c>
      <c r="Z27" s="18" t="s">
        <v>0</v>
      </c>
      <c r="AA27" s="18" t="s">
        <v>0</v>
      </c>
      <c r="AB27" s="18" t="s">
        <v>8</v>
      </c>
      <c r="AC27" s="18" t="s">
        <v>8</v>
      </c>
      <c r="AD27" s="18" t="s">
        <v>8</v>
      </c>
      <c r="AE27" s="18" t="s">
        <v>8</v>
      </c>
      <c r="AF27" s="18" t="s">
        <v>8</v>
      </c>
      <c r="AG27" s="18" t="s">
        <v>8</v>
      </c>
      <c r="AH27" s="18" t="s">
        <v>0</v>
      </c>
      <c r="AI27" s="2"/>
    </row>
    <row r="28" spans="1:35" s="8" customFormat="1" ht="22" customHeight="1" thickBot="1" x14ac:dyDescent="0.3">
      <c r="A28" s="6"/>
      <c r="B28" s="65" t="s">
        <v>18</v>
      </c>
      <c r="C28" s="66"/>
      <c r="D28" s="7" t="s">
        <v>17</v>
      </c>
      <c r="E28" s="67" t="s">
        <v>11</v>
      </c>
      <c r="F28" s="68"/>
      <c r="G28" s="13">
        <f>COUNTIF(E27:AH27,"H")</f>
        <v>21</v>
      </c>
      <c r="H28" s="67" t="s">
        <v>12</v>
      </c>
      <c r="I28" s="68"/>
      <c r="J28" s="13">
        <f>COUNTIF(E27:AH27,"T")</f>
        <v>5</v>
      </c>
      <c r="K28" s="67" t="s">
        <v>13</v>
      </c>
      <c r="L28" s="68"/>
      <c r="M28" s="13">
        <f>COUNTIF(E27:AH27,"A") + COUNTIF(E27:AH27,"I")</f>
        <v>4</v>
      </c>
      <c r="N28" s="67" t="s">
        <v>14</v>
      </c>
      <c r="O28" s="68"/>
      <c r="P28" s="13">
        <f>IF((G28+J28+M28)=0,0,(G28+J28)/(G28+J28+M28)*100)</f>
        <v>86.666666666666671</v>
      </c>
      <c r="Q28" s="67"/>
      <c r="R28" s="68"/>
      <c r="S28" s="13"/>
      <c r="T28" s="67"/>
      <c r="U28" s="68"/>
      <c r="V28" s="14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6"/>
    </row>
    <row r="29" spans="1:35" s="10" customFormat="1" ht="22" customHeight="1" x14ac:dyDescent="0.25">
      <c r="A29" s="9"/>
      <c r="B29" s="72" t="s">
        <v>34</v>
      </c>
      <c r="C29" s="72"/>
      <c r="D29" s="72"/>
      <c r="E29" s="16" t="s">
        <v>8</v>
      </c>
      <c r="F29" s="16" t="s">
        <v>0</v>
      </c>
      <c r="G29" s="17" t="s">
        <v>8</v>
      </c>
      <c r="H29" s="17" t="s">
        <v>8</v>
      </c>
      <c r="I29" s="17" t="s">
        <v>8</v>
      </c>
      <c r="J29" s="17" t="s">
        <v>8</v>
      </c>
      <c r="K29" s="17" t="s">
        <v>8</v>
      </c>
      <c r="L29" s="19" t="s">
        <v>8</v>
      </c>
      <c r="M29" s="19" t="s">
        <v>9</v>
      </c>
      <c r="N29" s="18" t="s">
        <v>9</v>
      </c>
      <c r="O29" s="18" t="s">
        <v>8</v>
      </c>
      <c r="P29" s="18" t="s">
        <v>9</v>
      </c>
      <c r="Q29" s="18" t="s">
        <v>8</v>
      </c>
      <c r="R29" s="18" t="s">
        <v>8</v>
      </c>
      <c r="S29" s="18" t="s">
        <v>8</v>
      </c>
      <c r="T29" s="18" t="s">
        <v>8</v>
      </c>
      <c r="U29" s="18" t="s">
        <v>9</v>
      </c>
      <c r="V29" s="18" t="s">
        <v>8</v>
      </c>
      <c r="W29" s="18" t="s">
        <v>8</v>
      </c>
      <c r="X29" s="18" t="s">
        <v>8</v>
      </c>
      <c r="Y29" s="18" t="s">
        <v>9</v>
      </c>
      <c r="Z29" s="18" t="s">
        <v>0</v>
      </c>
      <c r="AA29" s="18" t="s">
        <v>0</v>
      </c>
      <c r="AB29" s="18" t="s">
        <v>8</v>
      </c>
      <c r="AC29" s="18" t="s">
        <v>8</v>
      </c>
      <c r="AD29" s="18" t="s">
        <v>8</v>
      </c>
      <c r="AE29" s="18" t="s">
        <v>8</v>
      </c>
      <c r="AF29" s="18" t="s">
        <v>8</v>
      </c>
      <c r="AG29" s="18" t="s">
        <v>8</v>
      </c>
      <c r="AH29" s="18" t="s">
        <v>0</v>
      </c>
      <c r="AI29" s="9"/>
    </row>
    <row r="30" spans="1:35" s="8" customFormat="1" ht="22" customHeight="1" thickBot="1" x14ac:dyDescent="0.3">
      <c r="A30" s="6"/>
      <c r="B30" s="65" t="s">
        <v>18</v>
      </c>
      <c r="C30" s="66"/>
      <c r="D30" s="7" t="s">
        <v>17</v>
      </c>
      <c r="E30" s="67" t="s">
        <v>11</v>
      </c>
      <c r="F30" s="68"/>
      <c r="G30" s="13">
        <f>COUNTIF(E29:AH29,"H")</f>
        <v>21</v>
      </c>
      <c r="H30" s="67" t="s">
        <v>12</v>
      </c>
      <c r="I30" s="68"/>
      <c r="J30" s="13">
        <f>COUNTIF(E29:AH29,"T")</f>
        <v>5</v>
      </c>
      <c r="K30" s="67" t="s">
        <v>13</v>
      </c>
      <c r="L30" s="68"/>
      <c r="M30" s="13">
        <f>COUNTIF(E29:AH29,"A") + COUNTIF(E29:AH29,"I")</f>
        <v>4</v>
      </c>
      <c r="N30" s="67" t="s">
        <v>14</v>
      </c>
      <c r="O30" s="68"/>
      <c r="P30" s="13">
        <f>IF((G30+J30+M30)=0,0,(G30+J30)/(G30+J30+M30)*100)</f>
        <v>86.666666666666671</v>
      </c>
      <c r="Q30" s="67"/>
      <c r="R30" s="68"/>
      <c r="S30" s="13"/>
      <c r="T30" s="67"/>
      <c r="U30" s="68"/>
      <c r="V30" s="14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6"/>
    </row>
    <row r="31" spans="1:35" ht="22" customHeight="1" x14ac:dyDescent="0.35">
      <c r="A31" s="2"/>
      <c r="B31" s="72" t="s">
        <v>35</v>
      </c>
      <c r="C31" s="72"/>
      <c r="D31" s="72"/>
      <c r="E31" s="16" t="s">
        <v>8</v>
      </c>
      <c r="F31" s="16" t="s">
        <v>0</v>
      </c>
      <c r="G31" s="17" t="s">
        <v>8</v>
      </c>
      <c r="H31" s="17" t="s">
        <v>8</v>
      </c>
      <c r="I31" s="17" t="s">
        <v>8</v>
      </c>
      <c r="J31" s="17" t="s">
        <v>8</v>
      </c>
      <c r="K31" s="17" t="s">
        <v>8</v>
      </c>
      <c r="L31" s="19" t="s">
        <v>8</v>
      </c>
      <c r="M31" s="19" t="s">
        <v>9</v>
      </c>
      <c r="N31" s="18" t="s">
        <v>9</v>
      </c>
      <c r="O31" s="18" t="s">
        <v>8</v>
      </c>
      <c r="P31" s="18" t="s">
        <v>9</v>
      </c>
      <c r="Q31" s="18" t="s">
        <v>8</v>
      </c>
      <c r="R31" s="18" t="s">
        <v>8</v>
      </c>
      <c r="S31" s="18" t="s">
        <v>8</v>
      </c>
      <c r="T31" s="18" t="s">
        <v>8</v>
      </c>
      <c r="U31" s="18" t="s">
        <v>9</v>
      </c>
      <c r="V31" s="18" t="s">
        <v>8</v>
      </c>
      <c r="W31" s="18" t="s">
        <v>8</v>
      </c>
      <c r="X31" s="18" t="s">
        <v>8</v>
      </c>
      <c r="Y31" s="18" t="s">
        <v>9</v>
      </c>
      <c r="Z31" s="18" t="s">
        <v>0</v>
      </c>
      <c r="AA31" s="18" t="s">
        <v>0</v>
      </c>
      <c r="AB31" s="18" t="s">
        <v>8</v>
      </c>
      <c r="AC31" s="18" t="s">
        <v>8</v>
      </c>
      <c r="AD31" s="18" t="s">
        <v>8</v>
      </c>
      <c r="AE31" s="18" t="s">
        <v>8</v>
      </c>
      <c r="AF31" s="18" t="s">
        <v>8</v>
      </c>
      <c r="AG31" s="18" t="s">
        <v>8</v>
      </c>
      <c r="AH31" s="18" t="s">
        <v>0</v>
      </c>
      <c r="AI31" s="2"/>
    </row>
    <row r="32" spans="1:35" s="8" customFormat="1" ht="22" customHeight="1" thickBot="1" x14ac:dyDescent="0.3">
      <c r="A32" s="6"/>
      <c r="B32" s="65" t="s">
        <v>18</v>
      </c>
      <c r="C32" s="66"/>
      <c r="D32" s="7" t="s">
        <v>17</v>
      </c>
      <c r="E32" s="67" t="s">
        <v>11</v>
      </c>
      <c r="F32" s="68"/>
      <c r="G32" s="13">
        <f>COUNTIF(E31:AH31,"H")</f>
        <v>21</v>
      </c>
      <c r="H32" s="67" t="s">
        <v>12</v>
      </c>
      <c r="I32" s="68"/>
      <c r="J32" s="13">
        <f>COUNTIF(E31:AH31,"T")</f>
        <v>5</v>
      </c>
      <c r="K32" s="67" t="s">
        <v>13</v>
      </c>
      <c r="L32" s="68"/>
      <c r="M32" s="13">
        <f>COUNTIF(E31:AH31,"A") + COUNTIF(E31:AH31,"I")</f>
        <v>4</v>
      </c>
      <c r="N32" s="67" t="s">
        <v>14</v>
      </c>
      <c r="O32" s="68"/>
      <c r="P32" s="13">
        <f>IF((G32+J32+M32)=0,0,(G32+J32)/(G32+J32+M32)*100)</f>
        <v>86.666666666666671</v>
      </c>
      <c r="Q32" s="67"/>
      <c r="R32" s="68"/>
      <c r="S32" s="13"/>
      <c r="T32" s="67"/>
      <c r="U32" s="68"/>
      <c r="V32" s="14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6"/>
    </row>
    <row r="33" spans="1:36" ht="22" customHeight="1" x14ac:dyDescent="0.35">
      <c r="A33" s="2"/>
      <c r="B33" s="72" t="s">
        <v>36</v>
      </c>
      <c r="C33" s="72"/>
      <c r="D33" s="72"/>
      <c r="E33" s="16" t="s">
        <v>8</v>
      </c>
      <c r="F33" s="16" t="s">
        <v>0</v>
      </c>
      <c r="G33" s="17" t="s">
        <v>8</v>
      </c>
      <c r="H33" s="17" t="s">
        <v>8</v>
      </c>
      <c r="I33" s="17" t="s">
        <v>8</v>
      </c>
      <c r="J33" s="17" t="s">
        <v>8</v>
      </c>
      <c r="K33" s="17" t="s">
        <v>8</v>
      </c>
      <c r="L33" s="19" t="s">
        <v>8</v>
      </c>
      <c r="M33" s="19" t="s">
        <v>9</v>
      </c>
      <c r="N33" s="18" t="s">
        <v>9</v>
      </c>
      <c r="O33" s="18" t="s">
        <v>8</v>
      </c>
      <c r="P33" s="18" t="s">
        <v>9</v>
      </c>
      <c r="Q33" s="18" t="s">
        <v>8</v>
      </c>
      <c r="R33" s="18" t="s">
        <v>8</v>
      </c>
      <c r="S33" s="18" t="s">
        <v>8</v>
      </c>
      <c r="T33" s="18" t="s">
        <v>8</v>
      </c>
      <c r="U33" s="18" t="s">
        <v>9</v>
      </c>
      <c r="V33" s="18" t="s">
        <v>8</v>
      </c>
      <c r="W33" s="18" t="s">
        <v>8</v>
      </c>
      <c r="X33" s="18" t="s">
        <v>8</v>
      </c>
      <c r="Y33" s="18" t="s">
        <v>9</v>
      </c>
      <c r="Z33" s="18" t="s">
        <v>0</v>
      </c>
      <c r="AA33" s="18" t="s">
        <v>0</v>
      </c>
      <c r="AB33" s="18" t="s">
        <v>8</v>
      </c>
      <c r="AC33" s="18" t="s">
        <v>8</v>
      </c>
      <c r="AD33" s="18" t="s">
        <v>8</v>
      </c>
      <c r="AE33" s="18" t="s">
        <v>8</v>
      </c>
      <c r="AF33" s="18" t="s">
        <v>8</v>
      </c>
      <c r="AG33" s="18" t="s">
        <v>8</v>
      </c>
      <c r="AH33" s="18" t="s">
        <v>0</v>
      </c>
      <c r="AI33" s="2"/>
    </row>
    <row r="34" spans="1:36" s="8" customFormat="1" ht="22" customHeight="1" thickBot="1" x14ac:dyDescent="0.3">
      <c r="A34" s="6"/>
      <c r="B34" s="65" t="s">
        <v>18</v>
      </c>
      <c r="C34" s="66"/>
      <c r="D34" s="7" t="s">
        <v>17</v>
      </c>
      <c r="E34" s="67" t="s">
        <v>11</v>
      </c>
      <c r="F34" s="68"/>
      <c r="G34" s="13">
        <f>COUNTIF(E33:AH33,"H")</f>
        <v>21</v>
      </c>
      <c r="H34" s="67" t="s">
        <v>12</v>
      </c>
      <c r="I34" s="68"/>
      <c r="J34" s="13">
        <f>COUNTIF(E33:AH33,"T")</f>
        <v>5</v>
      </c>
      <c r="K34" s="67" t="s">
        <v>13</v>
      </c>
      <c r="L34" s="68"/>
      <c r="M34" s="13">
        <f>COUNTIF(E33:AH33,"A") + COUNTIF(E33:AH33,"I")</f>
        <v>4</v>
      </c>
      <c r="N34" s="67" t="s">
        <v>14</v>
      </c>
      <c r="O34" s="68"/>
      <c r="P34" s="13">
        <f>IF((G34+J34+M34)=0,0,(G34+J34)/(G34+J34+M34)*100)</f>
        <v>86.666666666666671</v>
      </c>
      <c r="Q34" s="67"/>
      <c r="R34" s="68"/>
      <c r="S34" s="13"/>
      <c r="T34" s="67"/>
      <c r="U34" s="68"/>
      <c r="V34" s="14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6"/>
    </row>
    <row r="35" spans="1:36" s="10" customFormat="1" ht="22" customHeight="1" x14ac:dyDescent="0.25">
      <c r="A35" s="9"/>
      <c r="B35" s="69" t="s">
        <v>37</v>
      </c>
      <c r="C35" s="70"/>
      <c r="D35" s="71"/>
      <c r="E35" s="16" t="s">
        <v>8</v>
      </c>
      <c r="F35" s="16" t="s">
        <v>0</v>
      </c>
      <c r="G35" s="17" t="s">
        <v>8</v>
      </c>
      <c r="H35" s="17" t="s">
        <v>8</v>
      </c>
      <c r="I35" s="17" t="s">
        <v>8</v>
      </c>
      <c r="J35" s="17" t="s">
        <v>8</v>
      </c>
      <c r="K35" s="17" t="s">
        <v>8</v>
      </c>
      <c r="L35" s="19" t="s">
        <v>8</v>
      </c>
      <c r="M35" s="19" t="s">
        <v>9</v>
      </c>
      <c r="N35" s="18" t="s">
        <v>9</v>
      </c>
      <c r="O35" s="18" t="s">
        <v>8</v>
      </c>
      <c r="P35" s="18" t="s">
        <v>9</v>
      </c>
      <c r="Q35" s="18" t="s">
        <v>8</v>
      </c>
      <c r="R35" s="18" t="s">
        <v>8</v>
      </c>
      <c r="S35" s="18" t="s">
        <v>8</v>
      </c>
      <c r="T35" s="18" t="s">
        <v>8</v>
      </c>
      <c r="U35" s="18" t="s">
        <v>9</v>
      </c>
      <c r="V35" s="18" t="s">
        <v>8</v>
      </c>
      <c r="W35" s="18" t="s">
        <v>8</v>
      </c>
      <c r="X35" s="18" t="s">
        <v>8</v>
      </c>
      <c r="Y35" s="18" t="s">
        <v>9</v>
      </c>
      <c r="Z35" s="18" t="s">
        <v>0</v>
      </c>
      <c r="AA35" s="18" t="s">
        <v>0</v>
      </c>
      <c r="AB35" s="18" t="s">
        <v>8</v>
      </c>
      <c r="AC35" s="18" t="s">
        <v>8</v>
      </c>
      <c r="AD35" s="18" t="s">
        <v>8</v>
      </c>
      <c r="AE35" s="18" t="s">
        <v>8</v>
      </c>
      <c r="AF35" s="18" t="s">
        <v>8</v>
      </c>
      <c r="AG35" s="18" t="s">
        <v>8</v>
      </c>
      <c r="AH35" s="18" t="s">
        <v>0</v>
      </c>
      <c r="AI35" s="9"/>
    </row>
    <row r="36" spans="1:36" s="8" customFormat="1" ht="22" customHeight="1" thickBot="1" x14ac:dyDescent="0.3">
      <c r="A36" s="6"/>
      <c r="B36" s="65" t="s">
        <v>18</v>
      </c>
      <c r="C36" s="66"/>
      <c r="D36" s="7" t="s">
        <v>17</v>
      </c>
      <c r="E36" s="67" t="s">
        <v>11</v>
      </c>
      <c r="F36" s="68"/>
      <c r="G36" s="13">
        <f>COUNTIF(E35:AH35,"H")</f>
        <v>21</v>
      </c>
      <c r="H36" s="67" t="s">
        <v>12</v>
      </c>
      <c r="I36" s="68"/>
      <c r="J36" s="13">
        <f>COUNTIF(E35:AH35,"T")</f>
        <v>5</v>
      </c>
      <c r="K36" s="67" t="s">
        <v>13</v>
      </c>
      <c r="L36" s="68"/>
      <c r="M36" s="13">
        <f>COUNTIF(E35:AH35,"A") + COUNTIF(E35:AH35,"I")</f>
        <v>4</v>
      </c>
      <c r="N36" s="67" t="s">
        <v>14</v>
      </c>
      <c r="O36" s="68"/>
      <c r="P36" s="13">
        <f>IF((G36+J36+M36)=0,0,(G36+J36)/(G36+J36+M36)*100)</f>
        <v>86.666666666666671</v>
      </c>
      <c r="Q36" s="67"/>
      <c r="R36" s="68"/>
      <c r="S36" s="13"/>
      <c r="T36" s="67"/>
      <c r="U36" s="68"/>
      <c r="V36" s="14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6"/>
    </row>
    <row r="37" spans="1:36" s="10" customFormat="1" ht="22" customHeight="1" x14ac:dyDescent="0.25">
      <c r="A37" s="9"/>
      <c r="B37" s="69" t="s">
        <v>38</v>
      </c>
      <c r="C37" s="70"/>
      <c r="D37" s="71"/>
      <c r="E37" s="16" t="s">
        <v>8</v>
      </c>
      <c r="F37" s="16" t="s">
        <v>0</v>
      </c>
      <c r="G37" s="17" t="s">
        <v>8</v>
      </c>
      <c r="H37" s="17" t="s">
        <v>8</v>
      </c>
      <c r="I37" s="17" t="s">
        <v>8</v>
      </c>
      <c r="J37" s="17" t="s">
        <v>8</v>
      </c>
      <c r="K37" s="17" t="s">
        <v>8</v>
      </c>
      <c r="L37" s="19" t="s">
        <v>8</v>
      </c>
      <c r="M37" s="19" t="s">
        <v>9</v>
      </c>
      <c r="N37" s="18" t="s">
        <v>9</v>
      </c>
      <c r="O37" s="18" t="s">
        <v>8</v>
      </c>
      <c r="P37" s="18" t="s">
        <v>9</v>
      </c>
      <c r="Q37" s="18" t="s">
        <v>8</v>
      </c>
      <c r="R37" s="18" t="s">
        <v>8</v>
      </c>
      <c r="S37" s="18" t="s">
        <v>8</v>
      </c>
      <c r="T37" s="18" t="s">
        <v>8</v>
      </c>
      <c r="U37" s="18" t="s">
        <v>9</v>
      </c>
      <c r="V37" s="18" t="s">
        <v>8</v>
      </c>
      <c r="W37" s="18" t="s">
        <v>8</v>
      </c>
      <c r="X37" s="18" t="s">
        <v>8</v>
      </c>
      <c r="Y37" s="18" t="s">
        <v>9</v>
      </c>
      <c r="Z37" s="18" t="s">
        <v>0</v>
      </c>
      <c r="AA37" s="18" t="s">
        <v>0</v>
      </c>
      <c r="AB37" s="18" t="s">
        <v>8</v>
      </c>
      <c r="AC37" s="18" t="s">
        <v>8</v>
      </c>
      <c r="AD37" s="18" t="s">
        <v>8</v>
      </c>
      <c r="AE37" s="18" t="s">
        <v>8</v>
      </c>
      <c r="AF37" s="18" t="s">
        <v>8</v>
      </c>
      <c r="AG37" s="18" t="s">
        <v>8</v>
      </c>
      <c r="AH37" s="18" t="s">
        <v>0</v>
      </c>
      <c r="AI37" s="9"/>
    </row>
    <row r="38" spans="1:36" s="8" customFormat="1" ht="22" customHeight="1" thickBot="1" x14ac:dyDescent="0.3">
      <c r="A38" s="6"/>
      <c r="B38" s="65" t="s">
        <v>18</v>
      </c>
      <c r="C38" s="66"/>
      <c r="D38" s="7" t="s">
        <v>17</v>
      </c>
      <c r="E38" s="67" t="s">
        <v>11</v>
      </c>
      <c r="F38" s="68"/>
      <c r="G38" s="13">
        <f>COUNTIF(E37:AH37,"H")</f>
        <v>21</v>
      </c>
      <c r="H38" s="67" t="s">
        <v>12</v>
      </c>
      <c r="I38" s="68"/>
      <c r="J38" s="13">
        <f>COUNTIF(E37:AH37,"T")</f>
        <v>5</v>
      </c>
      <c r="K38" s="67" t="s">
        <v>13</v>
      </c>
      <c r="L38" s="68"/>
      <c r="M38" s="13">
        <f>COUNTIF(E37:AH37,"A") + COUNTIF(E37:AH37,"I")</f>
        <v>4</v>
      </c>
      <c r="N38" s="67" t="s">
        <v>14</v>
      </c>
      <c r="O38" s="68"/>
      <c r="P38" s="13">
        <f>IF((G38+J38+M38)=0,0,(G38+J38)/(G38+J38+M38)*100)</f>
        <v>86.666666666666671</v>
      </c>
      <c r="Q38" s="67"/>
      <c r="R38" s="68"/>
      <c r="S38" s="13"/>
      <c r="T38" s="67"/>
      <c r="U38" s="68"/>
      <c r="V38" s="14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6"/>
    </row>
    <row r="39" spans="1:36" s="10" customFormat="1" ht="22" customHeight="1" x14ac:dyDescent="0.25">
      <c r="A39" s="9"/>
      <c r="B39" s="69" t="s">
        <v>39</v>
      </c>
      <c r="C39" s="70"/>
      <c r="D39" s="71"/>
      <c r="E39" s="16" t="s">
        <v>8</v>
      </c>
      <c r="F39" s="16" t="s">
        <v>0</v>
      </c>
      <c r="G39" s="17" t="s">
        <v>8</v>
      </c>
      <c r="H39" s="17" t="s">
        <v>8</v>
      </c>
      <c r="I39" s="17" t="s">
        <v>8</v>
      </c>
      <c r="J39" s="17" t="s">
        <v>8</v>
      </c>
      <c r="K39" s="17" t="s">
        <v>8</v>
      </c>
      <c r="L39" s="19" t="s">
        <v>8</v>
      </c>
      <c r="M39" s="19" t="s">
        <v>9</v>
      </c>
      <c r="N39" s="18" t="s">
        <v>9</v>
      </c>
      <c r="O39" s="18" t="s">
        <v>8</v>
      </c>
      <c r="P39" s="18" t="s">
        <v>9</v>
      </c>
      <c r="Q39" s="18" t="s">
        <v>8</v>
      </c>
      <c r="R39" s="18" t="s">
        <v>8</v>
      </c>
      <c r="S39" s="18" t="s">
        <v>8</v>
      </c>
      <c r="T39" s="18" t="s">
        <v>8</v>
      </c>
      <c r="U39" s="18" t="s">
        <v>9</v>
      </c>
      <c r="V39" s="18" t="s">
        <v>8</v>
      </c>
      <c r="W39" s="18" t="s">
        <v>8</v>
      </c>
      <c r="X39" s="18" t="s">
        <v>8</v>
      </c>
      <c r="Y39" s="18" t="s">
        <v>9</v>
      </c>
      <c r="Z39" s="18" t="s">
        <v>0</v>
      </c>
      <c r="AA39" s="18" t="s">
        <v>0</v>
      </c>
      <c r="AB39" s="18" t="s">
        <v>8</v>
      </c>
      <c r="AC39" s="18" t="s">
        <v>8</v>
      </c>
      <c r="AD39" s="18" t="s">
        <v>8</v>
      </c>
      <c r="AE39" s="18" t="s">
        <v>8</v>
      </c>
      <c r="AF39" s="18" t="s">
        <v>8</v>
      </c>
      <c r="AG39" s="18" t="s">
        <v>8</v>
      </c>
      <c r="AH39" s="18" t="s">
        <v>0</v>
      </c>
      <c r="AI39" s="9"/>
    </row>
    <row r="40" spans="1:36" s="8" customFormat="1" ht="22" customHeight="1" thickBot="1" x14ac:dyDescent="0.3">
      <c r="A40" s="6"/>
      <c r="B40" s="65" t="s">
        <v>18</v>
      </c>
      <c r="C40" s="66"/>
      <c r="D40" s="7" t="s">
        <v>17</v>
      </c>
      <c r="E40" s="67" t="s">
        <v>11</v>
      </c>
      <c r="F40" s="68"/>
      <c r="G40" s="13">
        <f>COUNTIF(E39:AH39,"H")</f>
        <v>21</v>
      </c>
      <c r="H40" s="67" t="s">
        <v>12</v>
      </c>
      <c r="I40" s="68"/>
      <c r="J40" s="13">
        <f>COUNTIF(E39:AH39,"T")</f>
        <v>5</v>
      </c>
      <c r="K40" s="67" t="s">
        <v>13</v>
      </c>
      <c r="L40" s="68"/>
      <c r="M40" s="13">
        <f>COUNTIF(E39:AH39,"A") + COUNTIF(E39:AH39,"I")</f>
        <v>4</v>
      </c>
      <c r="N40" s="67" t="s">
        <v>14</v>
      </c>
      <c r="O40" s="68"/>
      <c r="P40" s="13">
        <f>IF((G40+J40+M40)=0,0,(G40+J40)/(G40+J40+M40)*100)</f>
        <v>86.666666666666671</v>
      </c>
      <c r="Q40" s="67"/>
      <c r="R40" s="68"/>
      <c r="S40" s="13"/>
      <c r="T40" s="67"/>
      <c r="U40" s="68"/>
      <c r="V40" s="14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6"/>
    </row>
    <row r="41" spans="1:36" s="10" customFormat="1" ht="22" customHeight="1" x14ac:dyDescent="0.25">
      <c r="A41" s="9"/>
      <c r="B41" s="69" t="s">
        <v>40</v>
      </c>
      <c r="C41" s="70"/>
      <c r="D41" s="71"/>
      <c r="E41" s="16" t="s">
        <v>8</v>
      </c>
      <c r="F41" s="16" t="s">
        <v>0</v>
      </c>
      <c r="G41" s="17" t="s">
        <v>8</v>
      </c>
      <c r="H41" s="17" t="s">
        <v>8</v>
      </c>
      <c r="I41" s="17" t="s">
        <v>8</v>
      </c>
      <c r="J41" s="17" t="s">
        <v>8</v>
      </c>
      <c r="K41" s="17" t="s">
        <v>8</v>
      </c>
      <c r="L41" s="19" t="s">
        <v>8</v>
      </c>
      <c r="M41" s="19" t="s">
        <v>9</v>
      </c>
      <c r="N41" s="18" t="s">
        <v>9</v>
      </c>
      <c r="O41" s="18" t="s">
        <v>8</v>
      </c>
      <c r="P41" s="18" t="s">
        <v>9</v>
      </c>
      <c r="Q41" s="18" t="s">
        <v>8</v>
      </c>
      <c r="R41" s="18" t="s">
        <v>8</v>
      </c>
      <c r="S41" s="18" t="s">
        <v>8</v>
      </c>
      <c r="T41" s="18" t="s">
        <v>8</v>
      </c>
      <c r="U41" s="18" t="s">
        <v>9</v>
      </c>
      <c r="V41" s="18" t="s">
        <v>8</v>
      </c>
      <c r="W41" s="18" t="s">
        <v>8</v>
      </c>
      <c r="X41" s="18" t="s">
        <v>8</v>
      </c>
      <c r="Y41" s="18" t="s">
        <v>9</v>
      </c>
      <c r="Z41" s="18" t="s">
        <v>0</v>
      </c>
      <c r="AA41" s="18" t="s">
        <v>0</v>
      </c>
      <c r="AB41" s="18" t="s">
        <v>8</v>
      </c>
      <c r="AC41" s="18" t="s">
        <v>8</v>
      </c>
      <c r="AD41" s="18" t="s">
        <v>8</v>
      </c>
      <c r="AE41" s="18" t="s">
        <v>8</v>
      </c>
      <c r="AF41" s="18" t="s">
        <v>8</v>
      </c>
      <c r="AG41" s="18" t="s">
        <v>8</v>
      </c>
      <c r="AH41" s="18" t="s">
        <v>0</v>
      </c>
      <c r="AI41" s="9"/>
    </row>
    <row r="42" spans="1:36" s="8" customFormat="1" ht="22" customHeight="1" thickBot="1" x14ac:dyDescent="0.3">
      <c r="A42" s="6"/>
      <c r="B42" s="65" t="s">
        <v>18</v>
      </c>
      <c r="C42" s="66"/>
      <c r="D42" s="7" t="s">
        <v>17</v>
      </c>
      <c r="E42" s="67" t="s">
        <v>11</v>
      </c>
      <c r="F42" s="68"/>
      <c r="G42" s="13">
        <f>COUNTIF(E41:AH41,"H")</f>
        <v>21</v>
      </c>
      <c r="H42" s="67" t="s">
        <v>12</v>
      </c>
      <c r="I42" s="68"/>
      <c r="J42" s="13">
        <f>COUNTIF(E41:AH41,"T")</f>
        <v>5</v>
      </c>
      <c r="K42" s="67" t="s">
        <v>13</v>
      </c>
      <c r="L42" s="68"/>
      <c r="M42" s="13">
        <f>COUNTIF(E41:AH41,"A") + COUNTIF(E41:AH41,"I")</f>
        <v>4</v>
      </c>
      <c r="N42" s="67" t="s">
        <v>14</v>
      </c>
      <c r="O42" s="68"/>
      <c r="P42" s="13">
        <f>IF((G42+J42+M42)=0,0,(G42+J42)/(G42+J42+M42)*100)</f>
        <v>86.666666666666671</v>
      </c>
      <c r="Q42" s="67"/>
      <c r="R42" s="68"/>
      <c r="S42" s="13"/>
      <c r="T42" s="67"/>
      <c r="U42" s="68"/>
      <c r="V42" s="14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6"/>
    </row>
    <row r="43" spans="1:36" s="10" customFormat="1" ht="22" customHeight="1" x14ac:dyDescent="0.25">
      <c r="A43" s="9"/>
      <c r="B43" s="62" t="s">
        <v>41</v>
      </c>
      <c r="C43" s="63"/>
      <c r="D43" s="64"/>
      <c r="E43" s="16" t="s">
        <v>8</v>
      </c>
      <c r="F43" s="16" t="s">
        <v>0</v>
      </c>
      <c r="G43" s="17" t="s">
        <v>8</v>
      </c>
      <c r="H43" s="17" t="s">
        <v>8</v>
      </c>
      <c r="I43" s="17" t="s">
        <v>8</v>
      </c>
      <c r="J43" s="17" t="s">
        <v>8</v>
      </c>
      <c r="K43" s="17" t="s">
        <v>8</v>
      </c>
      <c r="L43" s="19" t="s">
        <v>8</v>
      </c>
      <c r="M43" s="19" t="s">
        <v>9</v>
      </c>
      <c r="N43" s="18" t="s">
        <v>9</v>
      </c>
      <c r="O43" s="18" t="s">
        <v>8</v>
      </c>
      <c r="P43" s="18" t="s">
        <v>9</v>
      </c>
      <c r="Q43" s="18" t="s">
        <v>8</v>
      </c>
      <c r="R43" s="18" t="s">
        <v>8</v>
      </c>
      <c r="S43" s="18" t="s">
        <v>8</v>
      </c>
      <c r="T43" s="18" t="s">
        <v>8</v>
      </c>
      <c r="U43" s="18" t="s">
        <v>9</v>
      </c>
      <c r="V43" s="18" t="s">
        <v>8</v>
      </c>
      <c r="W43" s="18" t="s">
        <v>8</v>
      </c>
      <c r="X43" s="18" t="s">
        <v>8</v>
      </c>
      <c r="Y43" s="18" t="s">
        <v>9</v>
      </c>
      <c r="Z43" s="18" t="s">
        <v>0</v>
      </c>
      <c r="AA43" s="18" t="s">
        <v>0</v>
      </c>
      <c r="AB43" s="18" t="s">
        <v>8</v>
      </c>
      <c r="AC43" s="18" t="s">
        <v>8</v>
      </c>
      <c r="AD43" s="18" t="s">
        <v>8</v>
      </c>
      <c r="AE43" s="18" t="s">
        <v>8</v>
      </c>
      <c r="AF43" s="18" t="s">
        <v>8</v>
      </c>
      <c r="AG43" s="18" t="s">
        <v>8</v>
      </c>
      <c r="AH43" s="18" t="s">
        <v>0</v>
      </c>
      <c r="AI43" s="9"/>
    </row>
    <row r="44" spans="1:36" s="8" customFormat="1" ht="22" customHeight="1" thickBot="1" x14ac:dyDescent="0.3">
      <c r="A44" s="6"/>
      <c r="B44" s="65" t="s">
        <v>18</v>
      </c>
      <c r="C44" s="66"/>
      <c r="D44" s="7" t="s">
        <v>17</v>
      </c>
      <c r="E44" s="67" t="s">
        <v>11</v>
      </c>
      <c r="F44" s="68"/>
      <c r="G44" s="13">
        <f>COUNTIF(E43:AH43,"H")</f>
        <v>21</v>
      </c>
      <c r="H44" s="67" t="s">
        <v>12</v>
      </c>
      <c r="I44" s="68"/>
      <c r="J44" s="13">
        <f>COUNTIF(E43:AH43,"T")</f>
        <v>5</v>
      </c>
      <c r="K44" s="67" t="s">
        <v>13</v>
      </c>
      <c r="L44" s="68"/>
      <c r="M44" s="13">
        <f>COUNTIF(E43:AH43,"A") + COUNTIF(E43:AH43,"I")</f>
        <v>4</v>
      </c>
      <c r="N44" s="67" t="s">
        <v>14</v>
      </c>
      <c r="O44" s="68"/>
      <c r="P44" s="13">
        <f>IF((G44+J44+M44)=0,0,(G44+J44)/(G44+J44+M44)*100)</f>
        <v>86.666666666666671</v>
      </c>
      <c r="Q44" s="67"/>
      <c r="R44" s="68"/>
      <c r="S44" s="13"/>
      <c r="T44" s="67"/>
      <c r="U44" s="68"/>
      <c r="V44" s="14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6"/>
    </row>
    <row r="45" spans="1:36" ht="22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ht="28.5" customHeight="1" x14ac:dyDescent="0.35">
      <c r="A46" s="2"/>
      <c r="B46" s="48" t="s">
        <v>19</v>
      </c>
      <c r="C46" s="48"/>
      <c r="D46" s="48"/>
      <c r="E46" s="48"/>
      <c r="F46" s="48"/>
      <c r="G46" s="48"/>
      <c r="H46" s="48"/>
      <c r="I46" s="48"/>
      <c r="J46" s="48"/>
      <c r="L46" s="49" t="s">
        <v>66</v>
      </c>
      <c r="M46" s="50"/>
      <c r="N46" s="50"/>
      <c r="O46" s="50"/>
      <c r="P46" s="50"/>
      <c r="Q46" s="50"/>
      <c r="R46" s="50"/>
      <c r="S46" s="50"/>
      <c r="T46" s="50"/>
      <c r="U46" s="50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6" ht="22" customHeight="1" x14ac:dyDescent="0.35">
      <c r="A47" s="2"/>
      <c r="B47" s="51"/>
      <c r="C47" s="51"/>
      <c r="D47" s="51"/>
      <c r="E47" s="51"/>
      <c r="F47" s="51"/>
      <c r="G47" s="51"/>
      <c r="H47" s="51"/>
      <c r="I47" s="51"/>
      <c r="J47" s="51"/>
      <c r="L47" s="52" t="s">
        <v>21</v>
      </c>
      <c r="M47" s="52"/>
      <c r="N47" s="52"/>
      <c r="O47" s="52"/>
      <c r="P47" s="52"/>
      <c r="Q47" s="52"/>
      <c r="R47" s="52"/>
      <c r="S47" s="52"/>
      <c r="T47" s="53">
        <v>30</v>
      </c>
      <c r="U47" s="54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6" ht="22" customHeight="1" x14ac:dyDescent="0.35">
      <c r="A48" s="2"/>
      <c r="B48" s="51"/>
      <c r="C48" s="51"/>
      <c r="D48" s="51"/>
      <c r="E48" s="51"/>
      <c r="F48" s="51"/>
      <c r="G48" s="51"/>
      <c r="H48" s="51"/>
      <c r="I48" s="51"/>
      <c r="J48" s="51"/>
      <c r="L48" s="52" t="s">
        <v>42</v>
      </c>
      <c r="M48" s="52"/>
      <c r="N48" s="52"/>
      <c r="O48" s="52"/>
      <c r="P48" s="52"/>
      <c r="Q48" s="52"/>
      <c r="R48" s="52"/>
      <c r="S48" s="52"/>
      <c r="T48" s="53">
        <v>20</v>
      </c>
      <c r="U48" s="54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1:36" ht="22" customHeight="1" x14ac:dyDescent="0.35">
      <c r="A49" s="2"/>
      <c r="B49" s="51"/>
      <c r="C49" s="51"/>
      <c r="D49" s="51"/>
      <c r="E49" s="51"/>
      <c r="F49" s="51"/>
      <c r="G49" s="51"/>
      <c r="H49" s="51"/>
      <c r="I49" s="51"/>
      <c r="J49" s="51"/>
      <c r="L49" s="55" t="s">
        <v>43</v>
      </c>
      <c r="M49" s="55"/>
      <c r="N49" s="55"/>
      <c r="O49" s="55"/>
      <c r="P49" s="55"/>
      <c r="Q49" s="55"/>
      <c r="R49" s="55"/>
      <c r="S49" s="55"/>
      <c r="T49" s="58">
        <f>T47*T48</f>
        <v>600</v>
      </c>
      <c r="U49" s="59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1:36" ht="22" customHeight="1" x14ac:dyDescent="0.35">
      <c r="A50" s="2"/>
      <c r="B50" s="51"/>
      <c r="C50" s="51"/>
      <c r="D50" s="51"/>
      <c r="E50" s="51"/>
      <c r="F50" s="51"/>
      <c r="G50" s="51"/>
      <c r="H50" s="51"/>
      <c r="I50" s="51"/>
      <c r="J50" s="51"/>
      <c r="L50" s="52" t="s">
        <v>44</v>
      </c>
      <c r="M50" s="52"/>
      <c r="N50" s="52"/>
      <c r="O50" s="52"/>
      <c r="P50" s="52"/>
      <c r="Q50" s="52"/>
      <c r="R50" s="52"/>
      <c r="S50" s="52"/>
      <c r="T50" s="60">
        <f>COUNTIF(E5:AH43,"H")</f>
        <v>424</v>
      </c>
      <c r="U50" s="61"/>
      <c r="AD50" s="2"/>
      <c r="AE50" s="2"/>
      <c r="AF50" s="2"/>
      <c r="AG50" s="2"/>
      <c r="AH50" s="2"/>
      <c r="AI50" s="2"/>
    </row>
    <row r="51" spans="1:36" ht="22" customHeight="1" x14ac:dyDescent="0.35">
      <c r="A51" s="2"/>
      <c r="B51" s="51"/>
      <c r="C51" s="51"/>
      <c r="D51" s="51"/>
      <c r="E51" s="51"/>
      <c r="F51" s="51"/>
      <c r="G51" s="51"/>
      <c r="H51" s="51"/>
      <c r="I51" s="51"/>
      <c r="J51" s="51"/>
      <c r="L51" s="52" t="s">
        <v>87</v>
      </c>
      <c r="M51" s="52"/>
      <c r="N51" s="52"/>
      <c r="O51" s="52"/>
      <c r="P51" s="52"/>
      <c r="Q51" s="52"/>
      <c r="R51" s="52"/>
      <c r="S51" s="52"/>
      <c r="T51" s="60">
        <f>COUNTIF(E5:AH43,"T")</f>
        <v>96</v>
      </c>
      <c r="U51" s="61"/>
      <c r="AD51" s="2"/>
      <c r="AE51" s="2"/>
      <c r="AF51" s="2"/>
      <c r="AG51" s="2"/>
      <c r="AH51" s="2"/>
      <c r="AI51" s="2"/>
    </row>
    <row r="52" spans="1:36" ht="22" customHeight="1" x14ac:dyDescent="0.35">
      <c r="A52" s="2"/>
      <c r="B52" s="51"/>
      <c r="C52" s="51"/>
      <c r="D52" s="51"/>
      <c r="E52" s="51"/>
      <c r="F52" s="51"/>
      <c r="G52" s="51"/>
      <c r="H52" s="51"/>
      <c r="I52" s="51"/>
      <c r="J52" s="51"/>
      <c r="L52" s="52" t="s">
        <v>88</v>
      </c>
      <c r="M52" s="52"/>
      <c r="N52" s="52"/>
      <c r="O52" s="52"/>
      <c r="P52" s="52"/>
      <c r="Q52" s="52"/>
      <c r="R52" s="52"/>
      <c r="S52" s="52"/>
      <c r="T52" s="60">
        <f>COUNTIF(E5:AH43,"A")+COUNTIF(E5:AH43,"I")</f>
        <v>80</v>
      </c>
      <c r="U52" s="61"/>
      <c r="AD52" s="2"/>
      <c r="AE52" s="2"/>
      <c r="AF52" s="2"/>
      <c r="AG52" s="2"/>
      <c r="AH52" s="2"/>
      <c r="AI52" s="2"/>
    </row>
    <row r="53" spans="1:36" ht="22" customHeight="1" x14ac:dyDescent="0.35">
      <c r="A53" s="2"/>
      <c r="B53" s="51"/>
      <c r="C53" s="51"/>
      <c r="D53" s="51"/>
      <c r="E53" s="51"/>
      <c r="F53" s="51"/>
      <c r="G53" s="51"/>
      <c r="H53" s="51"/>
      <c r="I53" s="51"/>
      <c r="J53" s="51"/>
      <c r="L53" s="52" t="s">
        <v>47</v>
      </c>
      <c r="M53" s="52"/>
      <c r="N53" s="52"/>
      <c r="O53" s="52"/>
      <c r="P53" s="52"/>
      <c r="Q53" s="52"/>
      <c r="R53" s="52"/>
      <c r="S53" s="52"/>
      <c r="T53" s="56">
        <f>IF((T50+T51+T52)=0,0,(T50+T51)/( T50+T51+T52))</f>
        <v>0.8666666666666667</v>
      </c>
      <c r="U53" s="57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1:36" ht="16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ht="16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ht="16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ht="16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ht="16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ht="16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ht="16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spans="1:36" ht="16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ht="16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6" ht="16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ht="16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ht="16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ht="16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spans="1:36" ht="16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6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spans="1:36" ht="16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spans="1:36" ht="16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spans="1:36" ht="16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spans="1:36" ht="16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spans="1:36" ht="16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6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6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6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spans="1:36" ht="16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spans="1:36" ht="16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spans="1:36" ht="16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6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6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spans="1:36" ht="16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spans="1:36" ht="16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spans="1:36" ht="16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spans="1:36" ht="16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spans="1:36" ht="16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spans="1:36" ht="16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spans="1:36" ht="16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6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spans="1:36" ht="16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spans="1:36" ht="16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spans="1:36" ht="16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spans="1:36" ht="16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spans="1:36" ht="16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spans="1:36" ht="16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spans="1:36" ht="16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spans="1:36" ht="16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spans="1:36" ht="16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spans="1:36" ht="16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spans="1:36" ht="16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spans="1:36" ht="16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spans="1:36" ht="16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spans="1:36" ht="16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spans="1:36" ht="16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spans="1:36" ht="16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spans="1:36" ht="16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spans="1:36" ht="16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spans="1:36" ht="16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spans="1:36" ht="16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spans="1:36" ht="16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spans="1:36" ht="16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spans="1:36" ht="16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spans="1:36" ht="16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spans="1:36" ht="16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spans="1:36" ht="16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spans="1:36" ht="16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spans="1:36" ht="16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spans="1:36" ht="16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spans="1:36" ht="16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spans="1:36" ht="16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6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6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6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6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6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6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6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6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6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6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6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6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6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6" ht="16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6" ht="16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6" ht="16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6" ht="16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6" ht="16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6" ht="16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spans="1:36" ht="16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spans="1:36" ht="16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spans="1:36" ht="16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spans="1:36" ht="16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spans="1:36" ht="16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spans="1:36" ht="16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spans="1:36" ht="16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spans="1:36" ht="16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spans="1:36" ht="16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spans="1:36" ht="16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spans="1:36" ht="16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spans="1:36" ht="16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spans="1:36" ht="16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spans="1:36" ht="16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spans="1:36" ht="16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spans="1:36" ht="16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spans="1:36" ht="16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spans="1:36" ht="16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spans="1:36" ht="16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spans="1:36" ht="16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spans="1:36" ht="16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spans="1:36" ht="16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spans="1:36" ht="16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spans="1:36" ht="16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spans="1:36" ht="16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spans="1:36" ht="16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spans="1:36" ht="16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spans="1:36" ht="16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spans="1:36" ht="16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spans="1:36" ht="16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spans="1:36" ht="16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spans="1:36" ht="16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spans="1:36" ht="16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spans="1:36" ht="16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spans="1:36" ht="16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spans="1:36" ht="16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spans="1:36" ht="16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spans="1:36" ht="16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spans="1:36" ht="16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spans="1:36" ht="16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spans="1:36" ht="16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spans="1:36" ht="16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spans="1:36" ht="16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spans="1:36" ht="16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spans="1:36" ht="16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spans="1:36" ht="16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spans="1:36" ht="16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spans="1:36" ht="16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spans="1:36" ht="16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spans="1:36" ht="16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spans="1:36" ht="16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spans="1:36" ht="16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spans="1:36" ht="16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spans="1:36" ht="16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spans="1:36" ht="16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spans="1:36" ht="16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spans="1:36" ht="16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spans="1:36" ht="16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spans="1:36" ht="16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spans="1:36" ht="16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spans="1:36" ht="16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spans="1:36" ht="16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spans="1:36" ht="16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spans="1:36" ht="16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spans="1:36" ht="16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spans="1:36" ht="16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spans="1:36" ht="16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spans="1:36" ht="16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spans="1:36" ht="16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spans="1:36" ht="16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spans="1:36" ht="16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spans="1:36" ht="16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spans="1:36" ht="16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spans="1:36" ht="16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spans="1:36" ht="16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spans="1:36" ht="16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spans="1:36" ht="16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spans="1:36" ht="16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spans="1:36" ht="16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spans="1:36" ht="16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spans="1:36" ht="16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spans="1:36" ht="16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spans="1:36" ht="16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spans="1:36" ht="16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spans="1:36" ht="16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spans="1:36" ht="16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spans="1:36" ht="16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spans="1:36" ht="16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spans="1:36" ht="16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spans="1:36" ht="16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spans="1:36" ht="16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spans="1:36" ht="16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spans="1:36" ht="16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spans="1:36" ht="16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spans="1:36" ht="16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spans="1:36" ht="16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spans="1:36" ht="16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spans="1:36" ht="16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spans="1:36" ht="16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spans="1:36" ht="16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spans="1:36" ht="16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spans="1:36" ht="16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spans="1:36" ht="16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spans="1:36" ht="16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spans="1:36" ht="16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spans="1:36" ht="16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spans="1:36" ht="16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spans="1:36" ht="16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spans="1:36" ht="16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spans="1:36" ht="16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spans="1:36" ht="16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spans="1:36" ht="16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spans="1:36" ht="16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spans="1:36" ht="16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spans="1:36" ht="16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spans="1:36" ht="16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spans="1:36" ht="16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spans="1:36" ht="16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spans="1:36" ht="16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spans="1:36" ht="16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spans="1:36" ht="16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spans="1:36" ht="16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spans="1:36" ht="16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spans="1:36" ht="16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spans="1:36" ht="16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spans="1:36" ht="16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spans="1:36" ht="16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spans="1:36" ht="16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spans="1:36" ht="16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spans="1:36" ht="16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spans="1:36" ht="16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spans="1:36" ht="16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spans="1:36" ht="16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spans="1:36" ht="16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spans="1:36" ht="16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spans="1:36" ht="16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spans="1:36" ht="16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spans="1:36" ht="16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spans="1:36" ht="16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spans="1:36" ht="16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spans="1:36" ht="16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spans="1:36" ht="16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spans="1:36" ht="16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spans="1:36" ht="16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spans="1:36" ht="16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spans="1:36" ht="16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spans="1:36" ht="16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spans="1:36" ht="16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spans="1:36" ht="16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spans="1:36" ht="16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spans="1:36" ht="16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spans="1:36" ht="16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spans="1:36" ht="16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spans="1:36" ht="16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spans="1:36" ht="16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spans="1:36" ht="16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spans="1:36" ht="16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spans="1:36" ht="16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spans="1:36" ht="16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spans="1:36" ht="16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spans="1:36" ht="16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spans="1:36" ht="16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spans="1:36" ht="16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spans="1:36" ht="16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spans="1:36" ht="16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spans="1:36" ht="16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spans="1:36" ht="16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spans="1:36" ht="16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spans="1:36" ht="16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spans="1:36" ht="16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spans="1:36" ht="16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spans="1:36" ht="16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spans="1:36" ht="16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spans="1:36" ht="16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spans="1:36" ht="16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spans="1:36" ht="16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spans="1:36" ht="16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spans="1:36" ht="16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spans="1:36" ht="16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spans="1:36" ht="16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spans="1:36" ht="16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spans="1:36" ht="16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spans="1:36" ht="16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spans="1:36" ht="16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spans="1:36" ht="16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spans="1:36" ht="16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spans="1:36" ht="16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spans="1:36" ht="16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spans="1:36" ht="16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spans="1:36" ht="16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spans="1:36" ht="16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spans="1:36" ht="16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spans="1:36" ht="16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spans="1:36" ht="16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spans="1:36" ht="16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spans="1:36" ht="16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spans="1:36" ht="16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spans="1:36" ht="16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spans="1:36" ht="16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spans="1:36" ht="16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spans="1:36" ht="16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spans="1:36" ht="16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spans="1:36" ht="16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spans="1:36" ht="16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spans="1:36" ht="16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spans="1:36" ht="16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spans="1:36" ht="16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spans="1:36" ht="16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spans="1:36" ht="16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spans="1:36" ht="16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spans="1:36" ht="16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spans="1:36" ht="16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spans="1:36" ht="16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spans="1:36" ht="16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spans="1:36" ht="16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spans="1:36" ht="16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spans="1:36" ht="16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spans="1:36" ht="16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spans="1:36" ht="16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spans="1:36" ht="16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spans="1:36" ht="16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spans="1:36" ht="16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spans="1:36" ht="16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spans="1:36" ht="16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spans="1:36" ht="16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spans="1:36" ht="16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spans="1:36" ht="16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spans="1:36" ht="16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spans="1:36" ht="16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spans="1:36" ht="16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spans="1:36" ht="16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spans="1:36" ht="16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spans="1:36" ht="16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spans="1:36" ht="16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spans="1:36" ht="16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spans="1:36" ht="16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spans="1:36" ht="16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spans="1:36" ht="16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spans="1:36" ht="16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spans="1:36" ht="16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spans="1:36" ht="16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spans="1:36" ht="16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spans="1:36" ht="16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spans="1:36" ht="16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spans="1:36" ht="16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spans="1:36" ht="16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spans="1:36" ht="16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spans="1:36" ht="16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spans="1:36" ht="16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spans="1:36" ht="16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spans="1:36" ht="16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spans="1:36" ht="16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spans="1:36" ht="16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spans="1:36" ht="16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spans="1:36" ht="16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spans="1:36" ht="16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spans="1:36" ht="16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spans="1:36" ht="16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spans="1:36" ht="16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spans="1:36" ht="16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spans="1:36" ht="16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spans="1:36" ht="16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spans="1:36" ht="16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spans="1:36" ht="16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spans="1:36" ht="16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spans="1:36" ht="16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spans="1:36" ht="16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spans="1:36" ht="16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spans="1:36" ht="16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spans="1:36" ht="16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spans="1:36" ht="16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spans="1:36" ht="16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spans="1:36" ht="16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spans="1:36" ht="16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spans="1:36" ht="16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spans="1:36" ht="16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spans="1:36" ht="16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spans="1:36" ht="16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spans="1:36" ht="16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spans="1:36" ht="16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spans="1:36" ht="16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spans="1:36" ht="16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spans="1:36" ht="16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spans="1:36" ht="16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spans="1:36" ht="16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spans="1:36" ht="16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spans="1:36" ht="16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spans="1:36" ht="16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spans="1:36" ht="16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spans="1:36" ht="16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spans="1:36" ht="16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spans="1:36" ht="16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spans="1:36" ht="16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spans="1:36" ht="16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spans="1:36" ht="16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spans="1:36" ht="16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spans="1:36" ht="16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spans="1:36" ht="16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spans="1:36" ht="16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spans="1:36" ht="16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spans="1:36" ht="16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spans="1:36" ht="16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spans="1:36" ht="16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spans="1:36" ht="16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spans="1:36" ht="16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spans="1:36" ht="16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spans="1:36" ht="16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spans="1:36" ht="16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spans="1:36" ht="16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spans="1:36" ht="16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spans="1:36" ht="16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spans="1:36" ht="16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spans="1:36" ht="16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spans="1:36" ht="16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spans="1:36" ht="16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spans="1:36" ht="16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spans="1:36" ht="16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spans="1:36" ht="16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spans="1:36" ht="16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spans="1:36" ht="16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spans="1:36" ht="16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spans="1:36" ht="16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spans="1:36" ht="16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spans="1:36" ht="16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spans="1:36" ht="16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spans="1:36" ht="16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spans="1:36" ht="16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spans="1:36" ht="16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spans="1:36" ht="16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spans="1:36" ht="16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spans="1:36" ht="16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spans="1:36" ht="16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spans="1:36" ht="16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spans="1:36" ht="16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spans="1:36" ht="16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spans="1:36" ht="16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spans="1:36" ht="16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spans="1:36" ht="16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spans="1:36" ht="16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spans="1:36" ht="16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spans="1:36" ht="16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spans="1:36" ht="16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spans="1:36" ht="16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spans="1:36" ht="16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spans="1:36" ht="16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spans="1:36" ht="16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spans="1:36" ht="16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spans="1:36" ht="16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spans="1:36" ht="16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spans="1:36" ht="16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spans="1:36" ht="16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spans="1:36" ht="16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spans="1:36" ht="16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spans="1:36" ht="16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spans="1:36" ht="16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spans="1:36" ht="16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spans="1:36" ht="16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spans="1:36" ht="16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spans="1:36" ht="16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spans="1:36" ht="16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spans="1:36" ht="16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spans="1:36" ht="16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spans="1:36" ht="16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spans="1:36" ht="16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spans="1:36" ht="16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spans="1:36" ht="16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spans="1:36" ht="16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spans="1:36" ht="16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spans="1:36" ht="16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spans="1:36" ht="16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spans="1:36" ht="16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spans="1:36" ht="16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spans="1:36" ht="16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spans="1:36" ht="16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spans="1:36" ht="16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spans="1:36" ht="16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spans="1:36" ht="16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spans="1:36" ht="16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spans="1:36" ht="16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spans="1:36" ht="16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spans="1:36" ht="16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spans="1:36" ht="16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spans="1:36" ht="16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spans="1:36" ht="16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spans="1:36" ht="16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spans="1:36" ht="16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spans="1:36" ht="16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spans="1:36" ht="16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spans="1:36" ht="16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spans="1:36" ht="16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spans="1:36" ht="16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spans="1:36" ht="16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spans="1:36" ht="16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spans="1:36" ht="16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spans="1:36" ht="16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spans="1:36" ht="16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spans="1:36" ht="16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spans="1:36" ht="16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spans="1:36" ht="16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spans="1:36" ht="16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spans="1:36" ht="16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spans="1:36" ht="16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spans="1:36" ht="16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spans="1:36" ht="16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spans="1:36" ht="16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spans="1:36" ht="16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spans="1:36" ht="16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spans="1:36" ht="16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spans="1:36" ht="16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spans="1:36" ht="16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spans="1:36" ht="16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spans="1:36" ht="16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spans="1:36" ht="16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spans="1:36" ht="16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spans="1:36" ht="16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spans="1:36" ht="16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spans="1:36" ht="16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spans="1:36" ht="16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spans="1:36" ht="16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spans="1:36" ht="16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spans="1:36" ht="16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spans="1:36" ht="16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spans="1:36" ht="16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spans="1:36" ht="16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spans="1:36" ht="16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spans="1:36" ht="16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spans="1:36" ht="16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spans="1:36" ht="16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spans="1:36" ht="16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spans="1:36" ht="16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spans="1:36" ht="16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spans="1:36" ht="16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spans="1:36" ht="16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spans="1:36" ht="16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spans="1:36" ht="16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spans="1:36" ht="16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spans="1:36" ht="16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spans="1:36" ht="16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spans="1:36" ht="16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spans="1:36" ht="16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spans="1:36" ht="16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spans="1:36" ht="16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spans="1:36" ht="16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spans="1:36" ht="16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spans="1:36" ht="16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spans="1:36" ht="16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spans="1:36" ht="16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spans="1:36" ht="16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spans="1:36" ht="16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spans="1:36" ht="16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spans="1:36" ht="16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spans="1:36" ht="16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spans="1:36" ht="16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spans="1:36" ht="16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spans="1:36" ht="16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spans="1:36" ht="16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spans="1:36" ht="16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spans="1:36" ht="16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spans="1:36" ht="16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spans="1:36" ht="16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spans="1:36" ht="16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spans="1:36" ht="16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spans="1:36" ht="16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spans="1:36" ht="16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spans="1:36" ht="16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spans="1:36" ht="16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spans="1:36" ht="16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spans="1:36" ht="16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spans="1:36" ht="16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spans="1:36" ht="16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spans="1:36" ht="16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spans="1:36" ht="16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spans="1:36" ht="16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spans="1:36" ht="16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spans="1:36" ht="16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spans="1:36" ht="16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spans="1:36" ht="16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spans="1:36" ht="16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spans="1:36" ht="16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spans="1:36" ht="16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spans="1:36" ht="16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spans="1:36" ht="16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spans="1:36" ht="16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spans="1:36" ht="16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spans="1:36" ht="16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spans="1:36" ht="16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spans="1:36" ht="16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spans="1:36" ht="16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spans="1:36" ht="16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spans="1:36" ht="16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spans="1:36" ht="16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spans="1:36" ht="16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spans="1:36" ht="16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spans="1:36" ht="16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spans="1:36" ht="16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spans="1:36" ht="16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spans="1:36" ht="16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spans="1:36" ht="16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spans="1:36" ht="16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spans="1:36" ht="16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spans="1:36" ht="16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spans="1:36" ht="16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spans="1:36" ht="16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spans="1:36" ht="16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spans="1:36" ht="16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spans="1:36" ht="16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spans="1:36" ht="16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spans="1:36" ht="16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spans="1:36" ht="16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spans="1:36" ht="16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spans="1:36" ht="16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</sheetData>
  <mergeCells count="184">
    <mergeCell ref="M2:N2"/>
    <mergeCell ref="Q2:R2"/>
    <mergeCell ref="U2:W2"/>
    <mergeCell ref="C4:D4"/>
    <mergeCell ref="B5:D5"/>
    <mergeCell ref="B6:C6"/>
    <mergeCell ref="E6:F6"/>
    <mergeCell ref="H6:I6"/>
    <mergeCell ref="K6:L6"/>
    <mergeCell ref="B2:D2"/>
    <mergeCell ref="E2:F2"/>
    <mergeCell ref="I2:J2"/>
    <mergeCell ref="N6:O6"/>
    <mergeCell ref="Q6:R6"/>
    <mergeCell ref="T6:U6"/>
    <mergeCell ref="B7:D7"/>
    <mergeCell ref="B8:C8"/>
    <mergeCell ref="E8:F8"/>
    <mergeCell ref="H8:I8"/>
    <mergeCell ref="K8:L8"/>
    <mergeCell ref="N8:O8"/>
    <mergeCell ref="Q8:R8"/>
    <mergeCell ref="B11:D11"/>
    <mergeCell ref="B12:C12"/>
    <mergeCell ref="E12:F12"/>
    <mergeCell ref="H12:I12"/>
    <mergeCell ref="K12:L12"/>
    <mergeCell ref="N12:O12"/>
    <mergeCell ref="T8:U8"/>
    <mergeCell ref="B9:D9"/>
    <mergeCell ref="B10:C10"/>
    <mergeCell ref="E10:F10"/>
    <mergeCell ref="H10:I10"/>
    <mergeCell ref="K10:L10"/>
    <mergeCell ref="N10:O10"/>
    <mergeCell ref="Q10:R10"/>
    <mergeCell ref="T10:U10"/>
    <mergeCell ref="B15:D15"/>
    <mergeCell ref="B16:C16"/>
    <mergeCell ref="E16:F16"/>
    <mergeCell ref="H16:I16"/>
    <mergeCell ref="K16:L16"/>
    <mergeCell ref="N16:O16"/>
    <mergeCell ref="Q12:R12"/>
    <mergeCell ref="T12:U12"/>
    <mergeCell ref="B13:D13"/>
    <mergeCell ref="B14:C14"/>
    <mergeCell ref="E14:F14"/>
    <mergeCell ref="H14:I14"/>
    <mergeCell ref="K14:L14"/>
    <mergeCell ref="N14:O14"/>
    <mergeCell ref="Q14:R14"/>
    <mergeCell ref="T14:U14"/>
    <mergeCell ref="B19:D19"/>
    <mergeCell ref="B20:C20"/>
    <mergeCell ref="E20:F20"/>
    <mergeCell ref="H20:I20"/>
    <mergeCell ref="K20:L20"/>
    <mergeCell ref="N20:O20"/>
    <mergeCell ref="Q16:R16"/>
    <mergeCell ref="T16:U16"/>
    <mergeCell ref="B17:D17"/>
    <mergeCell ref="B18:C18"/>
    <mergeCell ref="E18:F18"/>
    <mergeCell ref="H18:I18"/>
    <mergeCell ref="K18:L18"/>
    <mergeCell ref="N18:O18"/>
    <mergeCell ref="Q18:R18"/>
    <mergeCell ref="T18:U18"/>
    <mergeCell ref="B23:D23"/>
    <mergeCell ref="B24:C24"/>
    <mergeCell ref="E24:F24"/>
    <mergeCell ref="H24:I24"/>
    <mergeCell ref="K24:L24"/>
    <mergeCell ref="N24:O24"/>
    <mergeCell ref="Q20:R20"/>
    <mergeCell ref="T20:U20"/>
    <mergeCell ref="B21:D21"/>
    <mergeCell ref="B22:C22"/>
    <mergeCell ref="E22:F22"/>
    <mergeCell ref="H22:I22"/>
    <mergeCell ref="K22:L22"/>
    <mergeCell ref="N22:O22"/>
    <mergeCell ref="Q22:R22"/>
    <mergeCell ref="T22:U22"/>
    <mergeCell ref="B27:D27"/>
    <mergeCell ref="B28:C28"/>
    <mergeCell ref="E28:F28"/>
    <mergeCell ref="H28:I28"/>
    <mergeCell ref="K28:L28"/>
    <mergeCell ref="N28:O28"/>
    <mergeCell ref="Q24:R24"/>
    <mergeCell ref="T24:U24"/>
    <mergeCell ref="B25:D25"/>
    <mergeCell ref="B26:C26"/>
    <mergeCell ref="E26:F26"/>
    <mergeCell ref="H26:I26"/>
    <mergeCell ref="K26:L26"/>
    <mergeCell ref="N26:O26"/>
    <mergeCell ref="Q26:R26"/>
    <mergeCell ref="T26:U26"/>
    <mergeCell ref="B31:D31"/>
    <mergeCell ref="B32:C32"/>
    <mergeCell ref="E32:F32"/>
    <mergeCell ref="H32:I32"/>
    <mergeCell ref="K32:L32"/>
    <mergeCell ref="N32:O32"/>
    <mergeCell ref="Q28:R28"/>
    <mergeCell ref="T28:U28"/>
    <mergeCell ref="B29:D29"/>
    <mergeCell ref="B30:C30"/>
    <mergeCell ref="E30:F30"/>
    <mergeCell ref="H30:I30"/>
    <mergeCell ref="K30:L30"/>
    <mergeCell ref="N30:O30"/>
    <mergeCell ref="Q30:R30"/>
    <mergeCell ref="T30:U30"/>
    <mergeCell ref="B35:D35"/>
    <mergeCell ref="B36:C36"/>
    <mergeCell ref="E36:F36"/>
    <mergeCell ref="H36:I36"/>
    <mergeCell ref="K36:L36"/>
    <mergeCell ref="N36:O36"/>
    <mergeCell ref="Q32:R32"/>
    <mergeCell ref="T32:U32"/>
    <mergeCell ref="B33:D33"/>
    <mergeCell ref="B34:C34"/>
    <mergeCell ref="E34:F34"/>
    <mergeCell ref="H34:I34"/>
    <mergeCell ref="K34:L34"/>
    <mergeCell ref="N34:O34"/>
    <mergeCell ref="Q34:R34"/>
    <mergeCell ref="T34:U34"/>
    <mergeCell ref="B39:D39"/>
    <mergeCell ref="B40:C40"/>
    <mergeCell ref="E40:F40"/>
    <mergeCell ref="H40:I40"/>
    <mergeCell ref="K40:L40"/>
    <mergeCell ref="N40:O40"/>
    <mergeCell ref="Q36:R36"/>
    <mergeCell ref="T36:U36"/>
    <mergeCell ref="B37:D37"/>
    <mergeCell ref="B38:C38"/>
    <mergeCell ref="E38:F38"/>
    <mergeCell ref="H38:I38"/>
    <mergeCell ref="K38:L38"/>
    <mergeCell ref="N38:O38"/>
    <mergeCell ref="Q38:R38"/>
    <mergeCell ref="T38:U38"/>
    <mergeCell ref="B43:D43"/>
    <mergeCell ref="B44:C44"/>
    <mergeCell ref="E44:F44"/>
    <mergeCell ref="H44:I44"/>
    <mergeCell ref="K44:L44"/>
    <mergeCell ref="N44:O44"/>
    <mergeCell ref="Q40:R40"/>
    <mergeCell ref="T40:U40"/>
    <mergeCell ref="B41:D41"/>
    <mergeCell ref="B42:C42"/>
    <mergeCell ref="E42:F42"/>
    <mergeCell ref="H42:I42"/>
    <mergeCell ref="K42:L42"/>
    <mergeCell ref="N42:O42"/>
    <mergeCell ref="Q42:R42"/>
    <mergeCell ref="T42:U42"/>
    <mergeCell ref="Q44:R44"/>
    <mergeCell ref="T44:U44"/>
    <mergeCell ref="B46:J46"/>
    <mergeCell ref="L46:U46"/>
    <mergeCell ref="B47:J53"/>
    <mergeCell ref="L47:S47"/>
    <mergeCell ref="T47:U47"/>
    <mergeCell ref="L48:S48"/>
    <mergeCell ref="T48:U48"/>
    <mergeCell ref="L49:S49"/>
    <mergeCell ref="L53:S53"/>
    <mergeCell ref="T53:U53"/>
    <mergeCell ref="T49:U49"/>
    <mergeCell ref="L50:S50"/>
    <mergeCell ref="T50:U50"/>
    <mergeCell ref="L51:S51"/>
    <mergeCell ref="T51:U51"/>
    <mergeCell ref="L52:S52"/>
    <mergeCell ref="T52:U52"/>
  </mergeCells>
  <conditionalFormatting sqref="E5:AH44">
    <cfRule type="cellIs" dxfId="54" priority="1" operator="equal">
      <formula>"H"</formula>
    </cfRule>
    <cfRule type="cellIs" dxfId="53" priority="6" operator="equal">
      <formula>"I"</formula>
    </cfRule>
    <cfRule type="cellIs" dxfId="52" priority="7" operator="equal">
      <formula>"T"</formula>
    </cfRule>
    <cfRule type="cellIs" dxfId="51" priority="8" operator="equal">
      <formula>"A"</formula>
    </cfRule>
  </conditionalFormatting>
  <conditionalFormatting sqref="G2 K2 O2">
    <cfRule type="cellIs" dxfId="50" priority="2" operator="equal">
      <formula>"I"</formula>
    </cfRule>
    <cfRule type="cellIs" dxfId="49" priority="9" operator="equal">
      <formula>"H"</formula>
    </cfRule>
    <cfRule type="cellIs" dxfId="48" priority="10" operator="equal">
      <formula>"T"</formula>
    </cfRule>
    <cfRule type="cellIs" dxfId="47" priority="11" operator="equal">
      <formula>"A"</formula>
    </cfRule>
  </conditionalFormatting>
  <conditionalFormatting sqref="S2">
    <cfRule type="cellIs" dxfId="46" priority="3" operator="equal">
      <formula>"H"</formula>
    </cfRule>
    <cfRule type="cellIs" dxfId="45" priority="4" operator="equal">
      <formula>"T"</formula>
    </cfRule>
    <cfRule type="cellIs" dxfId="44" priority="5" operator="equal">
      <formula>"A"</formula>
    </cfRule>
  </conditionalFormatting>
  <pageMargins left="0.4" right="0.4" top="0.4" bottom="0.4" header="0" footer="0"/>
  <pageSetup paperSize="3" scale="42"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85C1C-CE9C-439C-BFA5-144BA484B419}">
  <sheetPr codeName="Sheet10">
    <tabColor rgb="FFE6D92E"/>
    <outlinePr summaryBelow="0" summaryRight="0"/>
    <pageSetUpPr fitToPage="1"/>
  </sheetPr>
  <dimension ref="A1:AJ650"/>
  <sheetViews>
    <sheetView showGridLines="0" topLeftCell="F42" zoomScaleNormal="100" workbookViewId="0">
      <selection activeCell="L53" sqref="L46:U53"/>
    </sheetView>
  </sheetViews>
  <sheetFormatPr defaultColWidth="14.453125" defaultRowHeight="15.75" customHeight="1" x14ac:dyDescent="0.25"/>
  <cols>
    <col min="1" max="1" width="3.36328125" style="1" customWidth="1"/>
    <col min="2" max="2" width="19.36328125" style="1" customWidth="1"/>
    <col min="3" max="4" width="14.81640625" style="1" customWidth="1"/>
    <col min="5" max="35" width="7.81640625" style="1" customWidth="1"/>
    <col min="36" max="36" width="3.36328125" style="1" customWidth="1"/>
    <col min="37" max="16384" width="14.453125" style="1"/>
  </cols>
  <sheetData>
    <row r="1" spans="1:36" ht="50" customHeight="1" thickBot="1" x14ac:dyDescent="0.4">
      <c r="A1" s="2"/>
      <c r="B1" s="20" t="s">
        <v>69</v>
      </c>
      <c r="C1" s="2"/>
      <c r="D1" s="3"/>
      <c r="E1" s="4"/>
      <c r="F1" s="2"/>
      <c r="G1" s="3"/>
      <c r="H1" s="3"/>
      <c r="I1" s="2"/>
      <c r="J1" s="2"/>
      <c r="K1" s="3"/>
      <c r="L1" s="3"/>
      <c r="M1" s="2"/>
      <c r="N1" s="2"/>
      <c r="O1" s="3"/>
      <c r="P1" s="3"/>
      <c r="R1" s="2"/>
      <c r="S1" s="3"/>
      <c r="T1" s="3"/>
      <c r="V1" s="2"/>
      <c r="X1" s="2"/>
      <c r="Y1" s="2"/>
      <c r="Z1" s="2"/>
      <c r="AA1" s="2"/>
      <c r="AB1" s="2"/>
      <c r="AC1" s="2"/>
      <c r="AD1" s="2"/>
      <c r="AE1" s="2"/>
      <c r="AF1" s="2"/>
      <c r="AH1" s="2"/>
      <c r="AI1" s="2"/>
      <c r="AJ1" s="2"/>
    </row>
    <row r="2" spans="1:36" ht="44" customHeight="1" x14ac:dyDescent="0.35">
      <c r="A2" s="2"/>
      <c r="B2" s="76" t="s">
        <v>3</v>
      </c>
      <c r="C2" s="76"/>
      <c r="D2" s="77"/>
      <c r="E2" s="42" t="s">
        <v>4</v>
      </c>
      <c r="F2" s="43"/>
      <c r="G2" s="21" t="s">
        <v>8</v>
      </c>
      <c r="I2" s="44" t="s">
        <v>5</v>
      </c>
      <c r="J2" s="45"/>
      <c r="K2" s="11" t="s">
        <v>9</v>
      </c>
      <c r="M2" s="46" t="s">
        <v>7</v>
      </c>
      <c r="N2" s="47"/>
      <c r="O2" s="12" t="s">
        <v>10</v>
      </c>
      <c r="Q2" s="46" t="s">
        <v>6</v>
      </c>
      <c r="R2" s="47"/>
      <c r="S2" s="12" t="s">
        <v>0</v>
      </c>
      <c r="T2" s="23"/>
      <c r="U2" s="40"/>
      <c r="V2" s="40"/>
      <c r="W2" s="40"/>
      <c r="X2" s="22"/>
      <c r="AC2" s="2"/>
      <c r="AD2" s="2"/>
      <c r="AE2" s="2"/>
      <c r="AF2" s="2"/>
      <c r="AG2" s="2"/>
      <c r="AH2" s="2"/>
      <c r="AI2" s="2"/>
      <c r="AJ2" s="2"/>
    </row>
    <row r="3" spans="1:36" ht="16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ht="25" customHeight="1" x14ac:dyDescent="0.35">
      <c r="A4" s="2"/>
      <c r="B4" s="25" t="s">
        <v>16</v>
      </c>
      <c r="C4" s="73" t="s">
        <v>70</v>
      </c>
      <c r="D4" s="74"/>
      <c r="E4" s="24">
        <v>1</v>
      </c>
      <c r="F4" s="24">
        <v>2</v>
      </c>
      <c r="G4" s="24">
        <v>3</v>
      </c>
      <c r="H4" s="24">
        <v>4</v>
      </c>
      <c r="I4" s="24">
        <v>5</v>
      </c>
      <c r="J4" s="24">
        <v>6</v>
      </c>
      <c r="K4" s="24">
        <v>7</v>
      </c>
      <c r="L4" s="24">
        <v>8</v>
      </c>
      <c r="M4" s="24">
        <v>9</v>
      </c>
      <c r="N4" s="24">
        <v>10</v>
      </c>
      <c r="O4" s="24">
        <v>11</v>
      </c>
      <c r="P4" s="24">
        <v>12</v>
      </c>
      <c r="Q4" s="24">
        <v>13</v>
      </c>
      <c r="R4" s="24">
        <v>14</v>
      </c>
      <c r="S4" s="24">
        <v>15</v>
      </c>
      <c r="T4" s="24">
        <v>16</v>
      </c>
      <c r="U4" s="24">
        <v>17</v>
      </c>
      <c r="V4" s="24">
        <v>18</v>
      </c>
      <c r="W4" s="24">
        <v>19</v>
      </c>
      <c r="X4" s="24">
        <v>20</v>
      </c>
      <c r="Y4" s="24">
        <v>21</v>
      </c>
      <c r="Z4" s="24">
        <v>22</v>
      </c>
      <c r="AA4" s="24">
        <v>23</v>
      </c>
      <c r="AB4" s="24">
        <v>24</v>
      </c>
      <c r="AC4" s="24">
        <v>25</v>
      </c>
      <c r="AD4" s="24">
        <v>26</v>
      </c>
      <c r="AE4" s="24">
        <v>27</v>
      </c>
      <c r="AF4" s="24">
        <v>28</v>
      </c>
      <c r="AG4" s="24">
        <v>29</v>
      </c>
      <c r="AH4" s="24">
        <v>30</v>
      </c>
      <c r="AI4" s="24">
        <v>31</v>
      </c>
      <c r="AJ4" s="2"/>
    </row>
    <row r="5" spans="1:36" ht="22" customHeight="1" x14ac:dyDescent="0.35">
      <c r="A5" s="2"/>
      <c r="B5" s="75" t="s">
        <v>22</v>
      </c>
      <c r="C5" s="75"/>
      <c r="D5" s="75"/>
      <c r="E5" s="16" t="s">
        <v>10</v>
      </c>
      <c r="F5" s="16" t="s">
        <v>0</v>
      </c>
      <c r="G5" s="17" t="s">
        <v>8</v>
      </c>
      <c r="H5" s="17" t="s">
        <v>8</v>
      </c>
      <c r="I5" s="17" t="s">
        <v>8</v>
      </c>
      <c r="J5" s="17" t="s">
        <v>8</v>
      </c>
      <c r="K5" s="17" t="s">
        <v>8</v>
      </c>
      <c r="L5" s="19" t="s">
        <v>8</v>
      </c>
      <c r="M5" s="19" t="s">
        <v>9</v>
      </c>
      <c r="N5" s="18" t="s">
        <v>9</v>
      </c>
      <c r="O5" s="18" t="s">
        <v>8</v>
      </c>
      <c r="P5" s="18" t="s">
        <v>9</v>
      </c>
      <c r="Q5" s="18" t="s">
        <v>8</v>
      </c>
      <c r="R5" s="18" t="s">
        <v>8</v>
      </c>
      <c r="S5" s="18" t="s">
        <v>8</v>
      </c>
      <c r="T5" s="18" t="s">
        <v>8</v>
      </c>
      <c r="U5" s="18" t="s">
        <v>9</v>
      </c>
      <c r="V5" s="18" t="s">
        <v>8</v>
      </c>
      <c r="W5" s="18" t="s">
        <v>8</v>
      </c>
      <c r="X5" s="18" t="s">
        <v>8</v>
      </c>
      <c r="Y5" s="18" t="s">
        <v>9</v>
      </c>
      <c r="Z5" s="18" t="s">
        <v>0</v>
      </c>
      <c r="AA5" s="18" t="s">
        <v>0</v>
      </c>
      <c r="AB5" s="18" t="s">
        <v>8</v>
      </c>
      <c r="AC5" s="18" t="s">
        <v>8</v>
      </c>
      <c r="AD5" s="18" t="s">
        <v>8</v>
      </c>
      <c r="AE5" s="18" t="s">
        <v>8</v>
      </c>
      <c r="AF5" s="18" t="s">
        <v>8</v>
      </c>
      <c r="AG5" s="18" t="s">
        <v>8</v>
      </c>
      <c r="AH5" s="18" t="s">
        <v>0</v>
      </c>
      <c r="AI5" s="18" t="s">
        <v>8</v>
      </c>
      <c r="AJ5" s="2"/>
    </row>
    <row r="6" spans="1:36" s="8" customFormat="1" ht="22" customHeight="1" thickBot="1" x14ac:dyDescent="0.3">
      <c r="A6" s="6"/>
      <c r="B6" s="65" t="s">
        <v>18</v>
      </c>
      <c r="C6" s="66"/>
      <c r="D6" s="7" t="s">
        <v>17</v>
      </c>
      <c r="E6" s="67" t="s">
        <v>11</v>
      </c>
      <c r="F6" s="68"/>
      <c r="G6" s="13">
        <f>COUNTIF(E5:AI5,"H")</f>
        <v>21</v>
      </c>
      <c r="H6" s="67" t="s">
        <v>12</v>
      </c>
      <c r="I6" s="68"/>
      <c r="J6" s="13">
        <f>COUNTIF(E5:AI5,"T")</f>
        <v>5</v>
      </c>
      <c r="K6" s="67" t="s">
        <v>13</v>
      </c>
      <c r="L6" s="68"/>
      <c r="M6" s="13">
        <f>COUNTIF(E5:AI5,"A") + COUNTIF(E5:AI5,"I")</f>
        <v>5</v>
      </c>
      <c r="N6" s="67" t="s">
        <v>14</v>
      </c>
      <c r="O6" s="68"/>
      <c r="P6" s="13">
        <f>IF((G6+J6+M6)=0,0,(G6+J6)/(G6+J6+M6)*100)</f>
        <v>83.870967741935488</v>
      </c>
      <c r="Q6" s="67"/>
      <c r="R6" s="68"/>
      <c r="S6" s="13"/>
      <c r="T6" s="67"/>
      <c r="U6" s="68"/>
      <c r="V6" s="14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6"/>
    </row>
    <row r="7" spans="1:36" ht="22" customHeight="1" x14ac:dyDescent="0.25">
      <c r="A7" s="5"/>
      <c r="B7" s="72" t="s">
        <v>23</v>
      </c>
      <c r="C7" s="72"/>
      <c r="D7" s="72"/>
      <c r="E7" s="16" t="s">
        <v>8</v>
      </c>
      <c r="F7" s="16" t="s">
        <v>0</v>
      </c>
      <c r="G7" s="17" t="s">
        <v>8</v>
      </c>
      <c r="H7" s="17" t="s">
        <v>8</v>
      </c>
      <c r="I7" s="17" t="s">
        <v>8</v>
      </c>
      <c r="J7" s="17" t="s">
        <v>8</v>
      </c>
      <c r="K7" s="17" t="s">
        <v>8</v>
      </c>
      <c r="L7" s="19" t="s">
        <v>8</v>
      </c>
      <c r="M7" s="19" t="s">
        <v>9</v>
      </c>
      <c r="N7" s="18" t="s">
        <v>9</v>
      </c>
      <c r="O7" s="18" t="s">
        <v>8</v>
      </c>
      <c r="P7" s="18" t="s">
        <v>9</v>
      </c>
      <c r="Q7" s="18" t="s">
        <v>8</v>
      </c>
      <c r="R7" s="18" t="s">
        <v>8</v>
      </c>
      <c r="S7" s="18" t="s">
        <v>8</v>
      </c>
      <c r="T7" s="18" t="s">
        <v>8</v>
      </c>
      <c r="U7" s="18" t="s">
        <v>9</v>
      </c>
      <c r="V7" s="18" t="s">
        <v>8</v>
      </c>
      <c r="W7" s="18" t="s">
        <v>8</v>
      </c>
      <c r="X7" s="18" t="s">
        <v>8</v>
      </c>
      <c r="Y7" s="18" t="s">
        <v>9</v>
      </c>
      <c r="Z7" s="18" t="s">
        <v>0</v>
      </c>
      <c r="AA7" s="18" t="s">
        <v>0</v>
      </c>
      <c r="AB7" s="18" t="s">
        <v>8</v>
      </c>
      <c r="AC7" s="18" t="s">
        <v>8</v>
      </c>
      <c r="AD7" s="18" t="s">
        <v>8</v>
      </c>
      <c r="AE7" s="18" t="s">
        <v>8</v>
      </c>
      <c r="AF7" s="18" t="s">
        <v>8</v>
      </c>
      <c r="AG7" s="18" t="s">
        <v>8</v>
      </c>
      <c r="AH7" s="18" t="s">
        <v>0</v>
      </c>
      <c r="AI7" s="18" t="s">
        <v>8</v>
      </c>
      <c r="AJ7" s="5"/>
    </row>
    <row r="8" spans="1:36" s="8" customFormat="1" ht="22" customHeight="1" thickBot="1" x14ac:dyDescent="0.3">
      <c r="A8" s="6"/>
      <c r="B8" s="65" t="s">
        <v>18</v>
      </c>
      <c r="C8" s="66"/>
      <c r="D8" s="7" t="s">
        <v>17</v>
      </c>
      <c r="E8" s="67" t="s">
        <v>11</v>
      </c>
      <c r="F8" s="68"/>
      <c r="G8" s="13">
        <f>COUNTIF(E7:AI7,"H")</f>
        <v>22</v>
      </c>
      <c r="H8" s="67" t="s">
        <v>12</v>
      </c>
      <c r="I8" s="68"/>
      <c r="J8" s="13">
        <f>COUNTIF(E7:AI7,"T")</f>
        <v>5</v>
      </c>
      <c r="K8" s="67" t="s">
        <v>13</v>
      </c>
      <c r="L8" s="68"/>
      <c r="M8" s="13">
        <f>COUNTIF(E7:AI7,"A") + COUNTIF(E7:AI7,"I")</f>
        <v>4</v>
      </c>
      <c r="N8" s="67" t="s">
        <v>14</v>
      </c>
      <c r="O8" s="68"/>
      <c r="P8" s="13">
        <f>IF((G8+J8+M8)=0,0,(G8+J8)/(G8+J8+M8)*100)</f>
        <v>87.096774193548384</v>
      </c>
      <c r="Q8" s="67"/>
      <c r="R8" s="68"/>
      <c r="S8" s="13"/>
      <c r="T8" s="67"/>
      <c r="U8" s="68"/>
      <c r="V8" s="14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6"/>
    </row>
    <row r="9" spans="1:36" ht="22" customHeight="1" x14ac:dyDescent="0.35">
      <c r="A9" s="2"/>
      <c r="B9" s="72" t="s">
        <v>24</v>
      </c>
      <c r="C9" s="72"/>
      <c r="D9" s="72"/>
      <c r="E9" s="16" t="s">
        <v>8</v>
      </c>
      <c r="F9" s="16" t="s">
        <v>8</v>
      </c>
      <c r="G9" s="17" t="s">
        <v>8</v>
      </c>
      <c r="H9" s="17" t="s">
        <v>8</v>
      </c>
      <c r="I9" s="17" t="s">
        <v>0</v>
      </c>
      <c r="J9" s="17" t="s">
        <v>8</v>
      </c>
      <c r="K9" s="17" t="s">
        <v>9</v>
      </c>
      <c r="L9" s="19" t="s">
        <v>8</v>
      </c>
      <c r="M9" s="19" t="s">
        <v>9</v>
      </c>
      <c r="N9" s="18" t="s">
        <v>8</v>
      </c>
      <c r="O9" s="18" t="s">
        <v>8</v>
      </c>
      <c r="P9" s="18" t="s">
        <v>9</v>
      </c>
      <c r="Q9" s="18" t="s">
        <v>8</v>
      </c>
      <c r="R9" s="18" t="s">
        <v>8</v>
      </c>
      <c r="S9" s="18" t="s">
        <v>9</v>
      </c>
      <c r="T9" s="18" t="s">
        <v>9</v>
      </c>
      <c r="U9" s="18" t="s">
        <v>9</v>
      </c>
      <c r="V9" s="18" t="s">
        <v>0</v>
      </c>
      <c r="W9" s="18" t="s">
        <v>8</v>
      </c>
      <c r="X9" s="18" t="s">
        <v>8</v>
      </c>
      <c r="Y9" s="18" t="s">
        <v>9</v>
      </c>
      <c r="Z9" s="18" t="s">
        <v>0</v>
      </c>
      <c r="AA9" s="18" t="s">
        <v>0</v>
      </c>
      <c r="AB9" s="18" t="s">
        <v>8</v>
      </c>
      <c r="AC9" s="18" t="s">
        <v>8</v>
      </c>
      <c r="AD9" s="18" t="s">
        <v>8</v>
      </c>
      <c r="AE9" s="18" t="s">
        <v>8</v>
      </c>
      <c r="AF9" s="18" t="s">
        <v>8</v>
      </c>
      <c r="AG9" s="18" t="s">
        <v>8</v>
      </c>
      <c r="AH9" s="18" t="s">
        <v>0</v>
      </c>
      <c r="AI9" s="18" t="s">
        <v>8</v>
      </c>
      <c r="AJ9" s="2"/>
    </row>
    <row r="10" spans="1:36" s="8" customFormat="1" ht="22" customHeight="1" thickBot="1" x14ac:dyDescent="0.3">
      <c r="A10" s="6"/>
      <c r="B10" s="65" t="s">
        <v>18</v>
      </c>
      <c r="C10" s="66"/>
      <c r="D10" s="7" t="s">
        <v>17</v>
      </c>
      <c r="E10" s="67" t="s">
        <v>11</v>
      </c>
      <c r="F10" s="68"/>
      <c r="G10" s="13">
        <f>COUNTIF(E9:AI9,"H")</f>
        <v>19</v>
      </c>
      <c r="H10" s="67" t="s">
        <v>12</v>
      </c>
      <c r="I10" s="68"/>
      <c r="J10" s="13">
        <f>COUNTIF(E9:AI9,"T")</f>
        <v>7</v>
      </c>
      <c r="K10" s="67" t="s">
        <v>13</v>
      </c>
      <c r="L10" s="68"/>
      <c r="M10" s="13">
        <f>COUNTIF(E9:AI9,"A") + COUNTIF(E9:AI9,"I")</f>
        <v>5</v>
      </c>
      <c r="N10" s="67" t="s">
        <v>14</v>
      </c>
      <c r="O10" s="68"/>
      <c r="P10" s="13">
        <f>IF((G10+J10+M10)=0,0,(G10+J10)/(G10+J10+M10)*100)</f>
        <v>83.870967741935488</v>
      </c>
      <c r="Q10" s="67"/>
      <c r="R10" s="68"/>
      <c r="S10" s="13"/>
      <c r="T10" s="67"/>
      <c r="U10" s="68"/>
      <c r="V10" s="14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6"/>
    </row>
    <row r="11" spans="1:36" s="10" customFormat="1" ht="22" customHeight="1" x14ac:dyDescent="0.25">
      <c r="A11" s="9"/>
      <c r="B11" s="72" t="s">
        <v>25</v>
      </c>
      <c r="C11" s="72"/>
      <c r="D11" s="72"/>
      <c r="E11" s="16" t="s">
        <v>8</v>
      </c>
      <c r="F11" s="16" t="s">
        <v>0</v>
      </c>
      <c r="G11" s="17" t="s">
        <v>8</v>
      </c>
      <c r="H11" s="17" t="s">
        <v>8</v>
      </c>
      <c r="I11" s="17" t="s">
        <v>8</v>
      </c>
      <c r="J11" s="17" t="s">
        <v>8</v>
      </c>
      <c r="K11" s="17" t="s">
        <v>8</v>
      </c>
      <c r="L11" s="19" t="s">
        <v>8</v>
      </c>
      <c r="M11" s="19" t="s">
        <v>8</v>
      </c>
      <c r="N11" s="18" t="s">
        <v>8</v>
      </c>
      <c r="O11" s="18" t="s">
        <v>8</v>
      </c>
      <c r="P11" s="18" t="s">
        <v>8</v>
      </c>
      <c r="Q11" s="18" t="s">
        <v>8</v>
      </c>
      <c r="R11" s="18" t="s">
        <v>8</v>
      </c>
      <c r="S11" s="18" t="s">
        <v>8</v>
      </c>
      <c r="T11" s="18" t="s">
        <v>8</v>
      </c>
      <c r="U11" s="18" t="s">
        <v>9</v>
      </c>
      <c r="V11" s="18" t="s">
        <v>8</v>
      </c>
      <c r="W11" s="18" t="s">
        <v>8</v>
      </c>
      <c r="X11" s="18" t="s">
        <v>8</v>
      </c>
      <c r="Y11" s="18" t="s">
        <v>8</v>
      </c>
      <c r="Z11" s="18" t="s">
        <v>8</v>
      </c>
      <c r="AA11" s="18" t="s">
        <v>8</v>
      </c>
      <c r="AB11" s="18" t="s">
        <v>8</v>
      </c>
      <c r="AC11" s="18" t="s">
        <v>8</v>
      </c>
      <c r="AD11" s="18" t="s">
        <v>8</v>
      </c>
      <c r="AE11" s="18" t="s">
        <v>8</v>
      </c>
      <c r="AF11" s="18" t="s">
        <v>8</v>
      </c>
      <c r="AG11" s="18" t="s">
        <v>8</v>
      </c>
      <c r="AH11" s="18" t="s">
        <v>0</v>
      </c>
      <c r="AI11" s="18" t="s">
        <v>8</v>
      </c>
      <c r="AJ11" s="9"/>
    </row>
    <row r="12" spans="1:36" s="8" customFormat="1" ht="22" customHeight="1" thickBot="1" x14ac:dyDescent="0.3">
      <c r="A12" s="6"/>
      <c r="B12" s="65" t="s">
        <v>18</v>
      </c>
      <c r="C12" s="66"/>
      <c r="D12" s="7" t="s">
        <v>17</v>
      </c>
      <c r="E12" s="67" t="s">
        <v>11</v>
      </c>
      <c r="F12" s="68"/>
      <c r="G12" s="13">
        <f>COUNTIF(E11:AI11,"H")</f>
        <v>28</v>
      </c>
      <c r="H12" s="67" t="s">
        <v>12</v>
      </c>
      <c r="I12" s="68"/>
      <c r="J12" s="13">
        <f>COUNTIF(E11:AI11,"T")</f>
        <v>1</v>
      </c>
      <c r="K12" s="67" t="s">
        <v>13</v>
      </c>
      <c r="L12" s="68"/>
      <c r="M12" s="13">
        <f>COUNTIF(E11:AI11,"A") + COUNTIF(E11:AI11,"I")</f>
        <v>2</v>
      </c>
      <c r="N12" s="67" t="s">
        <v>14</v>
      </c>
      <c r="O12" s="68"/>
      <c r="P12" s="13">
        <f>IF((G12+J12+M12)=0,0,(G12+J12)/(G12+J12+M12)*100)</f>
        <v>93.548387096774192</v>
      </c>
      <c r="Q12" s="67"/>
      <c r="R12" s="68"/>
      <c r="S12" s="13"/>
      <c r="T12" s="67"/>
      <c r="U12" s="68"/>
      <c r="V12" s="14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6"/>
    </row>
    <row r="13" spans="1:36" s="10" customFormat="1" ht="22" customHeight="1" x14ac:dyDescent="0.25">
      <c r="A13" s="9"/>
      <c r="B13" s="72" t="s">
        <v>26</v>
      </c>
      <c r="C13" s="72"/>
      <c r="D13" s="72"/>
      <c r="E13" s="16" t="s">
        <v>8</v>
      </c>
      <c r="F13" s="16" t="s">
        <v>8</v>
      </c>
      <c r="G13" s="17" t="s">
        <v>8</v>
      </c>
      <c r="H13" s="17" t="s">
        <v>8</v>
      </c>
      <c r="I13" s="17" t="s">
        <v>8</v>
      </c>
      <c r="J13" s="17" t="s">
        <v>0</v>
      </c>
      <c r="K13" s="17" t="s">
        <v>8</v>
      </c>
      <c r="L13" s="19" t="s">
        <v>8</v>
      </c>
      <c r="M13" s="19" t="s">
        <v>8</v>
      </c>
      <c r="N13" s="18" t="s">
        <v>8</v>
      </c>
      <c r="O13" s="18" t="s">
        <v>8</v>
      </c>
      <c r="P13" s="18" t="s">
        <v>9</v>
      </c>
      <c r="Q13" s="18" t="s">
        <v>8</v>
      </c>
      <c r="R13" s="18" t="s">
        <v>8</v>
      </c>
      <c r="S13" s="18" t="s">
        <v>8</v>
      </c>
      <c r="T13" s="18" t="s">
        <v>0</v>
      </c>
      <c r="U13" s="18" t="s">
        <v>9</v>
      </c>
      <c r="V13" s="18" t="s">
        <v>8</v>
      </c>
      <c r="W13" s="18" t="s">
        <v>8</v>
      </c>
      <c r="X13" s="18" t="s">
        <v>0</v>
      </c>
      <c r="Y13" s="18" t="s">
        <v>9</v>
      </c>
      <c r="Z13" s="18" t="s">
        <v>8</v>
      </c>
      <c r="AA13" s="18" t="s">
        <v>8</v>
      </c>
      <c r="AB13" s="18" t="s">
        <v>8</v>
      </c>
      <c r="AC13" s="18" t="s">
        <v>8</v>
      </c>
      <c r="AD13" s="18" t="s">
        <v>8</v>
      </c>
      <c r="AE13" s="18" t="s">
        <v>8</v>
      </c>
      <c r="AF13" s="18" t="s">
        <v>8</v>
      </c>
      <c r="AG13" s="18" t="s">
        <v>8</v>
      </c>
      <c r="AH13" s="18" t="s">
        <v>0</v>
      </c>
      <c r="AI13" s="18" t="s">
        <v>8</v>
      </c>
      <c r="AJ13" s="9"/>
    </row>
    <row r="14" spans="1:36" s="8" customFormat="1" ht="22" customHeight="1" thickBot="1" x14ac:dyDescent="0.3">
      <c r="A14" s="6"/>
      <c r="B14" s="65" t="s">
        <v>18</v>
      </c>
      <c r="C14" s="66"/>
      <c r="D14" s="7" t="s">
        <v>17</v>
      </c>
      <c r="E14" s="67" t="s">
        <v>11</v>
      </c>
      <c r="F14" s="68"/>
      <c r="G14" s="13">
        <f>COUNTIF(E13:AI13,"H")</f>
        <v>24</v>
      </c>
      <c r="H14" s="67" t="s">
        <v>12</v>
      </c>
      <c r="I14" s="68"/>
      <c r="J14" s="13">
        <f>COUNTIF(E13:AI13,"T")</f>
        <v>3</v>
      </c>
      <c r="K14" s="67" t="s">
        <v>13</v>
      </c>
      <c r="L14" s="68"/>
      <c r="M14" s="13">
        <f>COUNTIF(E13:AI13,"A") + COUNTIF(E13:AI13,"I")</f>
        <v>4</v>
      </c>
      <c r="N14" s="67" t="s">
        <v>14</v>
      </c>
      <c r="O14" s="68"/>
      <c r="P14" s="13">
        <f>IF((G14+J14+M14)=0,0,(G14+J14)/(G14+J14+M14)*100)</f>
        <v>87.096774193548384</v>
      </c>
      <c r="Q14" s="67"/>
      <c r="R14" s="68"/>
      <c r="S14" s="13"/>
      <c r="T14" s="67"/>
      <c r="U14" s="68"/>
      <c r="V14" s="14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6"/>
    </row>
    <row r="15" spans="1:36" s="10" customFormat="1" ht="22" customHeight="1" x14ac:dyDescent="0.25">
      <c r="A15" s="9"/>
      <c r="B15" s="72" t="s">
        <v>27</v>
      </c>
      <c r="C15" s="72"/>
      <c r="D15" s="72"/>
      <c r="E15" s="16" t="s">
        <v>8</v>
      </c>
      <c r="F15" s="16" t="s">
        <v>0</v>
      </c>
      <c r="G15" s="17" t="s">
        <v>8</v>
      </c>
      <c r="H15" s="17" t="s">
        <v>8</v>
      </c>
      <c r="I15" s="17" t="s">
        <v>8</v>
      </c>
      <c r="J15" s="17" t="s">
        <v>8</v>
      </c>
      <c r="K15" s="17" t="s">
        <v>8</v>
      </c>
      <c r="L15" s="19" t="s">
        <v>8</v>
      </c>
      <c r="M15" s="19" t="s">
        <v>9</v>
      </c>
      <c r="N15" s="18" t="s">
        <v>9</v>
      </c>
      <c r="O15" s="18" t="s">
        <v>8</v>
      </c>
      <c r="P15" s="18" t="s">
        <v>9</v>
      </c>
      <c r="Q15" s="18" t="s">
        <v>8</v>
      </c>
      <c r="R15" s="18" t="s">
        <v>8</v>
      </c>
      <c r="S15" s="18" t="s">
        <v>8</v>
      </c>
      <c r="T15" s="18" t="s">
        <v>8</v>
      </c>
      <c r="U15" s="18" t="s">
        <v>9</v>
      </c>
      <c r="V15" s="18" t="s">
        <v>8</v>
      </c>
      <c r="W15" s="18" t="s">
        <v>8</v>
      </c>
      <c r="X15" s="18" t="s">
        <v>8</v>
      </c>
      <c r="Y15" s="18" t="s">
        <v>9</v>
      </c>
      <c r="Z15" s="18" t="s">
        <v>0</v>
      </c>
      <c r="AA15" s="18" t="s">
        <v>0</v>
      </c>
      <c r="AB15" s="18" t="s">
        <v>8</v>
      </c>
      <c r="AC15" s="18" t="s">
        <v>8</v>
      </c>
      <c r="AD15" s="18" t="s">
        <v>8</v>
      </c>
      <c r="AE15" s="18" t="s">
        <v>8</v>
      </c>
      <c r="AF15" s="18" t="s">
        <v>8</v>
      </c>
      <c r="AG15" s="18" t="s">
        <v>8</v>
      </c>
      <c r="AH15" s="18" t="s">
        <v>0</v>
      </c>
      <c r="AI15" s="18" t="s">
        <v>8</v>
      </c>
      <c r="AJ15" s="9"/>
    </row>
    <row r="16" spans="1:36" s="8" customFormat="1" ht="22" customHeight="1" thickBot="1" x14ac:dyDescent="0.3">
      <c r="A16" s="6"/>
      <c r="B16" s="65" t="s">
        <v>18</v>
      </c>
      <c r="C16" s="66"/>
      <c r="D16" s="7" t="s">
        <v>17</v>
      </c>
      <c r="E16" s="67" t="s">
        <v>11</v>
      </c>
      <c r="F16" s="68"/>
      <c r="G16" s="13">
        <f>COUNTIF(E15:AI15,"H")</f>
        <v>22</v>
      </c>
      <c r="H16" s="67" t="s">
        <v>12</v>
      </c>
      <c r="I16" s="68"/>
      <c r="J16" s="13">
        <f>COUNTIF(E15:AI15,"T")</f>
        <v>5</v>
      </c>
      <c r="K16" s="67" t="s">
        <v>13</v>
      </c>
      <c r="L16" s="68"/>
      <c r="M16" s="13">
        <f>COUNTIF(E15:AI15,"A") + COUNTIF(E15:AI15,"I")</f>
        <v>4</v>
      </c>
      <c r="N16" s="67" t="s">
        <v>14</v>
      </c>
      <c r="O16" s="68"/>
      <c r="P16" s="13">
        <f>IF((G16+J16+M16)=0,0,(G16+J16)/(G16+J16+M16)*100)</f>
        <v>87.096774193548384</v>
      </c>
      <c r="Q16" s="67"/>
      <c r="R16" s="68"/>
      <c r="S16" s="13"/>
      <c r="T16" s="67"/>
      <c r="U16" s="68"/>
      <c r="V16" s="14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6"/>
    </row>
    <row r="17" spans="1:36" s="10" customFormat="1" ht="22" customHeight="1" x14ac:dyDescent="0.25">
      <c r="A17" s="9"/>
      <c r="B17" s="72" t="s">
        <v>28</v>
      </c>
      <c r="C17" s="72"/>
      <c r="D17" s="72"/>
      <c r="E17" s="16" t="s">
        <v>8</v>
      </c>
      <c r="F17" s="16" t="s">
        <v>0</v>
      </c>
      <c r="G17" s="17" t="s">
        <v>8</v>
      </c>
      <c r="H17" s="17" t="s">
        <v>8</v>
      </c>
      <c r="I17" s="17" t="s">
        <v>8</v>
      </c>
      <c r="J17" s="17" t="s">
        <v>8</v>
      </c>
      <c r="K17" s="17" t="s">
        <v>8</v>
      </c>
      <c r="L17" s="19" t="s">
        <v>8</v>
      </c>
      <c r="M17" s="19" t="s">
        <v>9</v>
      </c>
      <c r="N17" s="18" t="s">
        <v>9</v>
      </c>
      <c r="O17" s="18" t="s">
        <v>8</v>
      </c>
      <c r="P17" s="18" t="s">
        <v>9</v>
      </c>
      <c r="Q17" s="18" t="s">
        <v>8</v>
      </c>
      <c r="R17" s="18" t="s">
        <v>8</v>
      </c>
      <c r="S17" s="18" t="s">
        <v>8</v>
      </c>
      <c r="T17" s="18" t="s">
        <v>8</v>
      </c>
      <c r="U17" s="18" t="s">
        <v>9</v>
      </c>
      <c r="V17" s="18" t="s">
        <v>8</v>
      </c>
      <c r="W17" s="18" t="s">
        <v>8</v>
      </c>
      <c r="X17" s="18" t="s">
        <v>8</v>
      </c>
      <c r="Y17" s="18" t="s">
        <v>9</v>
      </c>
      <c r="Z17" s="18" t="s">
        <v>0</v>
      </c>
      <c r="AA17" s="18" t="s">
        <v>0</v>
      </c>
      <c r="AB17" s="18" t="s">
        <v>8</v>
      </c>
      <c r="AC17" s="18" t="s">
        <v>8</v>
      </c>
      <c r="AD17" s="18" t="s">
        <v>8</v>
      </c>
      <c r="AE17" s="18" t="s">
        <v>8</v>
      </c>
      <c r="AF17" s="18" t="s">
        <v>8</v>
      </c>
      <c r="AG17" s="18" t="s">
        <v>8</v>
      </c>
      <c r="AH17" s="18" t="s">
        <v>0</v>
      </c>
      <c r="AI17" s="18" t="s">
        <v>8</v>
      </c>
      <c r="AJ17" s="9"/>
    </row>
    <row r="18" spans="1:36" s="8" customFormat="1" ht="22" customHeight="1" thickBot="1" x14ac:dyDescent="0.3">
      <c r="A18" s="6"/>
      <c r="B18" s="65" t="s">
        <v>18</v>
      </c>
      <c r="C18" s="66"/>
      <c r="D18" s="7" t="s">
        <v>17</v>
      </c>
      <c r="E18" s="67" t="s">
        <v>11</v>
      </c>
      <c r="F18" s="68"/>
      <c r="G18" s="13">
        <f>COUNTIF(E17:AI17,"H")</f>
        <v>22</v>
      </c>
      <c r="H18" s="67" t="s">
        <v>12</v>
      </c>
      <c r="I18" s="68"/>
      <c r="J18" s="13">
        <f>COUNTIF(E17:AI17,"T")</f>
        <v>5</v>
      </c>
      <c r="K18" s="67" t="s">
        <v>13</v>
      </c>
      <c r="L18" s="68"/>
      <c r="M18" s="13">
        <f>COUNTIF(E17:AI17,"A") + COUNTIF(E17:AI17,"I")</f>
        <v>4</v>
      </c>
      <c r="N18" s="67" t="s">
        <v>14</v>
      </c>
      <c r="O18" s="68"/>
      <c r="P18" s="13">
        <f>IF((G18+J18+M18)=0,0,(G18+J18)/(G18+J18+M18)*100)</f>
        <v>87.096774193548384</v>
      </c>
      <c r="Q18" s="67"/>
      <c r="R18" s="68"/>
      <c r="S18" s="13"/>
      <c r="T18" s="67"/>
      <c r="U18" s="68"/>
      <c r="V18" s="14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6"/>
    </row>
    <row r="19" spans="1:36" s="10" customFormat="1" ht="22" customHeight="1" x14ac:dyDescent="0.25">
      <c r="A19" s="9"/>
      <c r="B19" s="72" t="s">
        <v>29</v>
      </c>
      <c r="C19" s="72"/>
      <c r="D19" s="72"/>
      <c r="E19" s="16" t="s">
        <v>8</v>
      </c>
      <c r="F19" s="16" t="s">
        <v>0</v>
      </c>
      <c r="G19" s="17" t="s">
        <v>8</v>
      </c>
      <c r="H19" s="17" t="s">
        <v>8</v>
      </c>
      <c r="I19" s="17" t="s">
        <v>8</v>
      </c>
      <c r="J19" s="17" t="s">
        <v>8</v>
      </c>
      <c r="K19" s="17" t="s">
        <v>8</v>
      </c>
      <c r="L19" s="19" t="s">
        <v>8</v>
      </c>
      <c r="M19" s="19" t="s">
        <v>9</v>
      </c>
      <c r="N19" s="18" t="s">
        <v>9</v>
      </c>
      <c r="O19" s="18" t="s">
        <v>8</v>
      </c>
      <c r="P19" s="18" t="s">
        <v>9</v>
      </c>
      <c r="Q19" s="18" t="s">
        <v>8</v>
      </c>
      <c r="R19" s="18" t="s">
        <v>8</v>
      </c>
      <c r="S19" s="18" t="s">
        <v>8</v>
      </c>
      <c r="T19" s="18" t="s">
        <v>8</v>
      </c>
      <c r="U19" s="18" t="s">
        <v>9</v>
      </c>
      <c r="V19" s="18" t="s">
        <v>8</v>
      </c>
      <c r="W19" s="18" t="s">
        <v>8</v>
      </c>
      <c r="X19" s="18" t="s">
        <v>8</v>
      </c>
      <c r="Y19" s="18" t="s">
        <v>9</v>
      </c>
      <c r="Z19" s="18" t="s">
        <v>0</v>
      </c>
      <c r="AA19" s="18" t="s">
        <v>0</v>
      </c>
      <c r="AB19" s="18" t="s">
        <v>8</v>
      </c>
      <c r="AC19" s="18" t="s">
        <v>8</v>
      </c>
      <c r="AD19" s="18" t="s">
        <v>8</v>
      </c>
      <c r="AE19" s="18" t="s">
        <v>8</v>
      </c>
      <c r="AF19" s="18" t="s">
        <v>8</v>
      </c>
      <c r="AG19" s="18" t="s">
        <v>8</v>
      </c>
      <c r="AH19" s="18" t="s">
        <v>0</v>
      </c>
      <c r="AI19" s="18" t="s">
        <v>8</v>
      </c>
      <c r="AJ19" s="9"/>
    </row>
    <row r="20" spans="1:36" s="8" customFormat="1" ht="22" customHeight="1" thickBot="1" x14ac:dyDescent="0.3">
      <c r="A20" s="6"/>
      <c r="B20" s="65" t="s">
        <v>18</v>
      </c>
      <c r="C20" s="66"/>
      <c r="D20" s="7" t="s">
        <v>17</v>
      </c>
      <c r="E20" s="67" t="s">
        <v>11</v>
      </c>
      <c r="F20" s="68"/>
      <c r="G20" s="13">
        <f>COUNTIF(E19:AI19,"H")</f>
        <v>22</v>
      </c>
      <c r="H20" s="67" t="s">
        <v>12</v>
      </c>
      <c r="I20" s="68"/>
      <c r="J20" s="13">
        <f>COUNTIF(E19:AI19,"T")</f>
        <v>5</v>
      </c>
      <c r="K20" s="67" t="s">
        <v>13</v>
      </c>
      <c r="L20" s="68"/>
      <c r="M20" s="13">
        <f>COUNTIF(E19:AI19,"A") + COUNTIF(E19:AI19,"I")</f>
        <v>4</v>
      </c>
      <c r="N20" s="67" t="s">
        <v>14</v>
      </c>
      <c r="O20" s="68"/>
      <c r="P20" s="13">
        <f>IF((G20+J20+M20)=0,0,(G20+J20)/(G20+J20+M20)*100)</f>
        <v>87.096774193548384</v>
      </c>
      <c r="Q20" s="67"/>
      <c r="R20" s="68"/>
      <c r="S20" s="13"/>
      <c r="T20" s="67"/>
      <c r="U20" s="68"/>
      <c r="V20" s="14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6"/>
    </row>
    <row r="21" spans="1:36" ht="22" customHeight="1" x14ac:dyDescent="0.35">
      <c r="A21" s="2"/>
      <c r="B21" s="72" t="s">
        <v>30</v>
      </c>
      <c r="C21" s="72"/>
      <c r="D21" s="72"/>
      <c r="E21" s="16" t="s">
        <v>8</v>
      </c>
      <c r="F21" s="16" t="s">
        <v>0</v>
      </c>
      <c r="G21" s="17" t="s">
        <v>8</v>
      </c>
      <c r="H21" s="17" t="s">
        <v>8</v>
      </c>
      <c r="I21" s="17" t="s">
        <v>8</v>
      </c>
      <c r="J21" s="17" t="s">
        <v>8</v>
      </c>
      <c r="K21" s="17" t="s">
        <v>8</v>
      </c>
      <c r="L21" s="19" t="s">
        <v>8</v>
      </c>
      <c r="M21" s="19" t="s">
        <v>9</v>
      </c>
      <c r="N21" s="18" t="s">
        <v>9</v>
      </c>
      <c r="O21" s="18" t="s">
        <v>8</v>
      </c>
      <c r="P21" s="18" t="s">
        <v>9</v>
      </c>
      <c r="Q21" s="18" t="s">
        <v>8</v>
      </c>
      <c r="R21" s="18" t="s">
        <v>8</v>
      </c>
      <c r="S21" s="18" t="s">
        <v>8</v>
      </c>
      <c r="T21" s="18" t="s">
        <v>8</v>
      </c>
      <c r="U21" s="18" t="s">
        <v>9</v>
      </c>
      <c r="V21" s="18" t="s">
        <v>8</v>
      </c>
      <c r="W21" s="18" t="s">
        <v>8</v>
      </c>
      <c r="X21" s="18" t="s">
        <v>8</v>
      </c>
      <c r="Y21" s="18" t="s">
        <v>9</v>
      </c>
      <c r="Z21" s="18" t="s">
        <v>0</v>
      </c>
      <c r="AA21" s="18" t="s">
        <v>0</v>
      </c>
      <c r="AB21" s="18" t="s">
        <v>8</v>
      </c>
      <c r="AC21" s="18" t="s">
        <v>8</v>
      </c>
      <c r="AD21" s="18" t="s">
        <v>8</v>
      </c>
      <c r="AE21" s="18" t="s">
        <v>8</v>
      </c>
      <c r="AF21" s="18" t="s">
        <v>8</v>
      </c>
      <c r="AG21" s="18" t="s">
        <v>8</v>
      </c>
      <c r="AH21" s="18" t="s">
        <v>0</v>
      </c>
      <c r="AI21" s="18" t="s">
        <v>8</v>
      </c>
      <c r="AJ21" s="2"/>
    </row>
    <row r="22" spans="1:36" s="8" customFormat="1" ht="22" customHeight="1" thickBot="1" x14ac:dyDescent="0.3">
      <c r="A22" s="6"/>
      <c r="B22" s="65" t="s">
        <v>18</v>
      </c>
      <c r="C22" s="66"/>
      <c r="D22" s="7" t="s">
        <v>17</v>
      </c>
      <c r="E22" s="67" t="s">
        <v>11</v>
      </c>
      <c r="F22" s="68"/>
      <c r="G22" s="13">
        <f>COUNTIF(E21:AI21,"H")</f>
        <v>22</v>
      </c>
      <c r="H22" s="67" t="s">
        <v>12</v>
      </c>
      <c r="I22" s="68"/>
      <c r="J22" s="13">
        <f>COUNTIF(E21:AI21,"T")</f>
        <v>5</v>
      </c>
      <c r="K22" s="67" t="s">
        <v>13</v>
      </c>
      <c r="L22" s="68"/>
      <c r="M22" s="13">
        <f>COUNTIF(E21:AI21,"A") + COUNTIF(E21:AI21,"I")</f>
        <v>4</v>
      </c>
      <c r="N22" s="67" t="s">
        <v>14</v>
      </c>
      <c r="O22" s="68"/>
      <c r="P22" s="13">
        <f>IF((G22+J22+M22)=0,0,(G22+J22)/(G22+J22+M22)*100)</f>
        <v>87.096774193548384</v>
      </c>
      <c r="Q22" s="67"/>
      <c r="R22" s="68"/>
      <c r="S22" s="13"/>
      <c r="T22" s="67"/>
      <c r="U22" s="68"/>
      <c r="V22" s="14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6"/>
    </row>
    <row r="23" spans="1:36" ht="22" customHeight="1" x14ac:dyDescent="0.35">
      <c r="A23" s="2"/>
      <c r="B23" s="72" t="s">
        <v>31</v>
      </c>
      <c r="C23" s="72"/>
      <c r="D23" s="72"/>
      <c r="E23" s="16" t="s">
        <v>8</v>
      </c>
      <c r="F23" s="16" t="s">
        <v>0</v>
      </c>
      <c r="G23" s="17" t="s">
        <v>8</v>
      </c>
      <c r="H23" s="17" t="s">
        <v>8</v>
      </c>
      <c r="I23" s="17" t="s">
        <v>8</v>
      </c>
      <c r="J23" s="17" t="s">
        <v>8</v>
      </c>
      <c r="K23" s="17" t="s">
        <v>8</v>
      </c>
      <c r="L23" s="19" t="s">
        <v>8</v>
      </c>
      <c r="M23" s="19" t="s">
        <v>9</v>
      </c>
      <c r="N23" s="18" t="s">
        <v>9</v>
      </c>
      <c r="O23" s="18" t="s">
        <v>8</v>
      </c>
      <c r="P23" s="18" t="s">
        <v>9</v>
      </c>
      <c r="Q23" s="18" t="s">
        <v>8</v>
      </c>
      <c r="R23" s="18" t="s">
        <v>8</v>
      </c>
      <c r="S23" s="18" t="s">
        <v>8</v>
      </c>
      <c r="T23" s="18" t="s">
        <v>8</v>
      </c>
      <c r="U23" s="18" t="s">
        <v>9</v>
      </c>
      <c r="V23" s="18" t="s">
        <v>8</v>
      </c>
      <c r="W23" s="18" t="s">
        <v>8</v>
      </c>
      <c r="X23" s="18" t="s">
        <v>8</v>
      </c>
      <c r="Y23" s="18" t="s">
        <v>9</v>
      </c>
      <c r="Z23" s="18" t="s">
        <v>0</v>
      </c>
      <c r="AA23" s="18" t="s">
        <v>0</v>
      </c>
      <c r="AB23" s="18" t="s">
        <v>8</v>
      </c>
      <c r="AC23" s="18" t="s">
        <v>8</v>
      </c>
      <c r="AD23" s="18" t="s">
        <v>8</v>
      </c>
      <c r="AE23" s="18" t="s">
        <v>8</v>
      </c>
      <c r="AF23" s="18" t="s">
        <v>8</v>
      </c>
      <c r="AG23" s="18" t="s">
        <v>8</v>
      </c>
      <c r="AH23" s="18" t="s">
        <v>0</v>
      </c>
      <c r="AI23" s="18" t="s">
        <v>8</v>
      </c>
      <c r="AJ23" s="2"/>
    </row>
    <row r="24" spans="1:36" s="8" customFormat="1" ht="22" customHeight="1" thickBot="1" x14ac:dyDescent="0.3">
      <c r="A24" s="6"/>
      <c r="B24" s="65" t="s">
        <v>18</v>
      </c>
      <c r="C24" s="66"/>
      <c r="D24" s="7" t="s">
        <v>17</v>
      </c>
      <c r="E24" s="67" t="s">
        <v>11</v>
      </c>
      <c r="F24" s="68"/>
      <c r="G24" s="13">
        <f>COUNTIF(E23:AI23,"H")</f>
        <v>22</v>
      </c>
      <c r="H24" s="67" t="s">
        <v>12</v>
      </c>
      <c r="I24" s="68"/>
      <c r="J24" s="13">
        <f>COUNTIF(E23:AI23,"T")</f>
        <v>5</v>
      </c>
      <c r="K24" s="67" t="s">
        <v>13</v>
      </c>
      <c r="L24" s="68"/>
      <c r="M24" s="13">
        <f>COUNTIF(E23:AI23,"A") + COUNTIF(E23:AI23,"I")</f>
        <v>4</v>
      </c>
      <c r="N24" s="67" t="s">
        <v>14</v>
      </c>
      <c r="O24" s="68"/>
      <c r="P24" s="13">
        <f>IF((G24+J24+M24)=0,0,(G24+J24)/(G24+J24+M24)*100)</f>
        <v>87.096774193548384</v>
      </c>
      <c r="Q24" s="67"/>
      <c r="R24" s="68"/>
      <c r="S24" s="13"/>
      <c r="T24" s="67"/>
      <c r="U24" s="68"/>
      <c r="V24" s="14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6"/>
    </row>
    <row r="25" spans="1:36" s="10" customFormat="1" ht="22" customHeight="1" x14ac:dyDescent="0.25">
      <c r="A25" s="9"/>
      <c r="B25" s="72" t="s">
        <v>32</v>
      </c>
      <c r="C25" s="72"/>
      <c r="D25" s="72"/>
      <c r="E25" s="16" t="s">
        <v>8</v>
      </c>
      <c r="F25" s="16" t="s">
        <v>0</v>
      </c>
      <c r="G25" s="17" t="s">
        <v>8</v>
      </c>
      <c r="H25" s="17" t="s">
        <v>8</v>
      </c>
      <c r="I25" s="17" t="s">
        <v>8</v>
      </c>
      <c r="J25" s="17" t="s">
        <v>8</v>
      </c>
      <c r="K25" s="17" t="s">
        <v>8</v>
      </c>
      <c r="L25" s="19" t="s">
        <v>8</v>
      </c>
      <c r="M25" s="19" t="s">
        <v>9</v>
      </c>
      <c r="N25" s="18" t="s">
        <v>9</v>
      </c>
      <c r="O25" s="18" t="s">
        <v>8</v>
      </c>
      <c r="P25" s="18" t="s">
        <v>9</v>
      </c>
      <c r="Q25" s="18" t="s">
        <v>8</v>
      </c>
      <c r="R25" s="18" t="s">
        <v>8</v>
      </c>
      <c r="S25" s="18" t="s">
        <v>8</v>
      </c>
      <c r="T25" s="18" t="s">
        <v>8</v>
      </c>
      <c r="U25" s="18" t="s">
        <v>9</v>
      </c>
      <c r="V25" s="18" t="s">
        <v>8</v>
      </c>
      <c r="W25" s="18" t="s">
        <v>8</v>
      </c>
      <c r="X25" s="18" t="s">
        <v>8</v>
      </c>
      <c r="Y25" s="18" t="s">
        <v>9</v>
      </c>
      <c r="Z25" s="18" t="s">
        <v>0</v>
      </c>
      <c r="AA25" s="18" t="s">
        <v>0</v>
      </c>
      <c r="AB25" s="18" t="s">
        <v>8</v>
      </c>
      <c r="AC25" s="18" t="s">
        <v>8</v>
      </c>
      <c r="AD25" s="18" t="s">
        <v>8</v>
      </c>
      <c r="AE25" s="18" t="s">
        <v>8</v>
      </c>
      <c r="AF25" s="18" t="s">
        <v>8</v>
      </c>
      <c r="AG25" s="18" t="s">
        <v>8</v>
      </c>
      <c r="AH25" s="18" t="s">
        <v>0</v>
      </c>
      <c r="AI25" s="18" t="s">
        <v>8</v>
      </c>
      <c r="AJ25" s="9"/>
    </row>
    <row r="26" spans="1:36" s="8" customFormat="1" ht="22" customHeight="1" thickBot="1" x14ac:dyDescent="0.3">
      <c r="A26" s="6"/>
      <c r="B26" s="65" t="s">
        <v>18</v>
      </c>
      <c r="C26" s="66"/>
      <c r="D26" s="7" t="s">
        <v>17</v>
      </c>
      <c r="E26" s="67" t="s">
        <v>11</v>
      </c>
      <c r="F26" s="68"/>
      <c r="G26" s="13">
        <f>COUNTIF(E25:AI25,"H")</f>
        <v>22</v>
      </c>
      <c r="H26" s="67" t="s">
        <v>12</v>
      </c>
      <c r="I26" s="68"/>
      <c r="J26" s="13">
        <f>COUNTIF(E25:AI25,"T")</f>
        <v>5</v>
      </c>
      <c r="K26" s="67" t="s">
        <v>13</v>
      </c>
      <c r="L26" s="68"/>
      <c r="M26" s="13">
        <f>COUNTIF(E25:AI25,"A") + COUNTIF(E25:AI25,"I")</f>
        <v>4</v>
      </c>
      <c r="N26" s="67" t="s">
        <v>14</v>
      </c>
      <c r="O26" s="68"/>
      <c r="P26" s="13">
        <f>IF((G26+J26+M26)=0,0,(G26+J26)/(G26+J26+M26)*100)</f>
        <v>87.096774193548384</v>
      </c>
      <c r="Q26" s="67"/>
      <c r="R26" s="68"/>
      <c r="S26" s="13"/>
      <c r="T26" s="67"/>
      <c r="U26" s="68"/>
      <c r="V26" s="14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6"/>
    </row>
    <row r="27" spans="1:36" ht="22" customHeight="1" x14ac:dyDescent="0.35">
      <c r="A27" s="2"/>
      <c r="B27" s="72" t="s">
        <v>33</v>
      </c>
      <c r="C27" s="72"/>
      <c r="D27" s="72"/>
      <c r="E27" s="16" t="s">
        <v>8</v>
      </c>
      <c r="F27" s="16" t="s">
        <v>0</v>
      </c>
      <c r="G27" s="17" t="s">
        <v>8</v>
      </c>
      <c r="H27" s="17" t="s">
        <v>8</v>
      </c>
      <c r="I27" s="17" t="s">
        <v>8</v>
      </c>
      <c r="J27" s="17" t="s">
        <v>8</v>
      </c>
      <c r="K27" s="17" t="s">
        <v>8</v>
      </c>
      <c r="L27" s="19" t="s">
        <v>8</v>
      </c>
      <c r="M27" s="19" t="s">
        <v>9</v>
      </c>
      <c r="N27" s="18" t="s">
        <v>9</v>
      </c>
      <c r="O27" s="18" t="s">
        <v>8</v>
      </c>
      <c r="P27" s="18" t="s">
        <v>9</v>
      </c>
      <c r="Q27" s="18" t="s">
        <v>8</v>
      </c>
      <c r="R27" s="18" t="s">
        <v>8</v>
      </c>
      <c r="S27" s="18" t="s">
        <v>8</v>
      </c>
      <c r="T27" s="18" t="s">
        <v>8</v>
      </c>
      <c r="U27" s="18" t="s">
        <v>9</v>
      </c>
      <c r="V27" s="18" t="s">
        <v>8</v>
      </c>
      <c r="W27" s="18" t="s">
        <v>8</v>
      </c>
      <c r="X27" s="18" t="s">
        <v>8</v>
      </c>
      <c r="Y27" s="18" t="s">
        <v>9</v>
      </c>
      <c r="Z27" s="18" t="s">
        <v>0</v>
      </c>
      <c r="AA27" s="18" t="s">
        <v>0</v>
      </c>
      <c r="AB27" s="18" t="s">
        <v>8</v>
      </c>
      <c r="AC27" s="18" t="s">
        <v>8</v>
      </c>
      <c r="AD27" s="18" t="s">
        <v>8</v>
      </c>
      <c r="AE27" s="18" t="s">
        <v>8</v>
      </c>
      <c r="AF27" s="18" t="s">
        <v>8</v>
      </c>
      <c r="AG27" s="18" t="s">
        <v>8</v>
      </c>
      <c r="AH27" s="18" t="s">
        <v>0</v>
      </c>
      <c r="AI27" s="18" t="s">
        <v>8</v>
      </c>
      <c r="AJ27" s="2"/>
    </row>
    <row r="28" spans="1:36" s="8" customFormat="1" ht="22" customHeight="1" thickBot="1" x14ac:dyDescent="0.3">
      <c r="A28" s="6"/>
      <c r="B28" s="65" t="s">
        <v>18</v>
      </c>
      <c r="C28" s="66"/>
      <c r="D28" s="7" t="s">
        <v>17</v>
      </c>
      <c r="E28" s="67" t="s">
        <v>11</v>
      </c>
      <c r="F28" s="68"/>
      <c r="G28" s="13">
        <f>COUNTIF(E27:AI27,"H")</f>
        <v>22</v>
      </c>
      <c r="H28" s="67" t="s">
        <v>12</v>
      </c>
      <c r="I28" s="68"/>
      <c r="J28" s="13">
        <f>COUNTIF(E27:AI27,"T")</f>
        <v>5</v>
      </c>
      <c r="K28" s="67" t="s">
        <v>13</v>
      </c>
      <c r="L28" s="68"/>
      <c r="M28" s="13">
        <f>COUNTIF(E27:AI27,"A") + COUNTIF(E27:AI27,"I")</f>
        <v>4</v>
      </c>
      <c r="N28" s="67" t="s">
        <v>14</v>
      </c>
      <c r="O28" s="68"/>
      <c r="P28" s="13">
        <f>IF((G28+J28+M28)=0,0,(G28+J28)/(G28+J28+M28)*100)</f>
        <v>87.096774193548384</v>
      </c>
      <c r="Q28" s="67"/>
      <c r="R28" s="68"/>
      <c r="S28" s="13"/>
      <c r="T28" s="67"/>
      <c r="U28" s="68"/>
      <c r="V28" s="14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6"/>
    </row>
    <row r="29" spans="1:36" s="10" customFormat="1" ht="22" customHeight="1" x14ac:dyDescent="0.25">
      <c r="A29" s="9"/>
      <c r="B29" s="72" t="s">
        <v>34</v>
      </c>
      <c r="C29" s="72"/>
      <c r="D29" s="72"/>
      <c r="E29" s="16" t="s">
        <v>8</v>
      </c>
      <c r="F29" s="16" t="s">
        <v>0</v>
      </c>
      <c r="G29" s="17" t="s">
        <v>8</v>
      </c>
      <c r="H29" s="17" t="s">
        <v>8</v>
      </c>
      <c r="I29" s="17" t="s">
        <v>8</v>
      </c>
      <c r="J29" s="17" t="s">
        <v>8</v>
      </c>
      <c r="K29" s="17" t="s">
        <v>8</v>
      </c>
      <c r="L29" s="19" t="s">
        <v>8</v>
      </c>
      <c r="M29" s="19" t="s">
        <v>9</v>
      </c>
      <c r="N29" s="18" t="s">
        <v>9</v>
      </c>
      <c r="O29" s="18" t="s">
        <v>8</v>
      </c>
      <c r="P29" s="18" t="s">
        <v>9</v>
      </c>
      <c r="Q29" s="18" t="s">
        <v>8</v>
      </c>
      <c r="R29" s="18" t="s">
        <v>8</v>
      </c>
      <c r="S29" s="18" t="s">
        <v>8</v>
      </c>
      <c r="T29" s="18" t="s">
        <v>8</v>
      </c>
      <c r="U29" s="18" t="s">
        <v>9</v>
      </c>
      <c r="V29" s="18" t="s">
        <v>8</v>
      </c>
      <c r="W29" s="18" t="s">
        <v>8</v>
      </c>
      <c r="X29" s="18" t="s">
        <v>8</v>
      </c>
      <c r="Y29" s="18" t="s">
        <v>9</v>
      </c>
      <c r="Z29" s="18" t="s">
        <v>0</v>
      </c>
      <c r="AA29" s="18" t="s">
        <v>0</v>
      </c>
      <c r="AB29" s="18" t="s">
        <v>8</v>
      </c>
      <c r="AC29" s="18" t="s">
        <v>8</v>
      </c>
      <c r="AD29" s="18" t="s">
        <v>8</v>
      </c>
      <c r="AE29" s="18" t="s">
        <v>8</v>
      </c>
      <c r="AF29" s="18" t="s">
        <v>8</v>
      </c>
      <c r="AG29" s="18" t="s">
        <v>8</v>
      </c>
      <c r="AH29" s="18" t="s">
        <v>0</v>
      </c>
      <c r="AI29" s="18" t="s">
        <v>8</v>
      </c>
      <c r="AJ29" s="9"/>
    </row>
    <row r="30" spans="1:36" s="8" customFormat="1" ht="22" customHeight="1" thickBot="1" x14ac:dyDescent="0.3">
      <c r="A30" s="6"/>
      <c r="B30" s="65" t="s">
        <v>18</v>
      </c>
      <c r="C30" s="66"/>
      <c r="D30" s="7" t="s">
        <v>17</v>
      </c>
      <c r="E30" s="67" t="s">
        <v>11</v>
      </c>
      <c r="F30" s="68"/>
      <c r="G30" s="13">
        <f>COUNTIF(E29:AI29,"H")</f>
        <v>22</v>
      </c>
      <c r="H30" s="67" t="s">
        <v>12</v>
      </c>
      <c r="I30" s="68"/>
      <c r="J30" s="13">
        <f>COUNTIF(E29:AI29,"T")</f>
        <v>5</v>
      </c>
      <c r="K30" s="67" t="s">
        <v>13</v>
      </c>
      <c r="L30" s="68"/>
      <c r="M30" s="13">
        <f>COUNTIF(E29:AI29,"A") + COUNTIF(E29:AI29,"I")</f>
        <v>4</v>
      </c>
      <c r="N30" s="67" t="s">
        <v>14</v>
      </c>
      <c r="O30" s="68"/>
      <c r="P30" s="13">
        <f>IF((G30+J30+M30)=0,0,(G30+J30)/(G30+J30+M30)*100)</f>
        <v>87.096774193548384</v>
      </c>
      <c r="Q30" s="67"/>
      <c r="R30" s="68"/>
      <c r="S30" s="13"/>
      <c r="T30" s="67"/>
      <c r="U30" s="68"/>
      <c r="V30" s="14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6"/>
    </row>
    <row r="31" spans="1:36" ht="22" customHeight="1" x14ac:dyDescent="0.35">
      <c r="A31" s="2"/>
      <c r="B31" s="72" t="s">
        <v>35</v>
      </c>
      <c r="C31" s="72"/>
      <c r="D31" s="72"/>
      <c r="E31" s="16" t="s">
        <v>8</v>
      </c>
      <c r="F31" s="16" t="s">
        <v>0</v>
      </c>
      <c r="G31" s="17" t="s">
        <v>8</v>
      </c>
      <c r="H31" s="17" t="s">
        <v>8</v>
      </c>
      <c r="I31" s="17" t="s">
        <v>8</v>
      </c>
      <c r="J31" s="17" t="s">
        <v>8</v>
      </c>
      <c r="K31" s="17" t="s">
        <v>8</v>
      </c>
      <c r="L31" s="19" t="s">
        <v>8</v>
      </c>
      <c r="M31" s="19" t="s">
        <v>9</v>
      </c>
      <c r="N31" s="18" t="s">
        <v>9</v>
      </c>
      <c r="O31" s="18" t="s">
        <v>8</v>
      </c>
      <c r="P31" s="18" t="s">
        <v>9</v>
      </c>
      <c r="Q31" s="18" t="s">
        <v>8</v>
      </c>
      <c r="R31" s="18" t="s">
        <v>8</v>
      </c>
      <c r="S31" s="18" t="s">
        <v>8</v>
      </c>
      <c r="T31" s="18" t="s">
        <v>8</v>
      </c>
      <c r="U31" s="18" t="s">
        <v>9</v>
      </c>
      <c r="V31" s="18" t="s">
        <v>8</v>
      </c>
      <c r="W31" s="18" t="s">
        <v>8</v>
      </c>
      <c r="X31" s="18" t="s">
        <v>8</v>
      </c>
      <c r="Y31" s="18" t="s">
        <v>9</v>
      </c>
      <c r="Z31" s="18" t="s">
        <v>0</v>
      </c>
      <c r="AA31" s="18" t="s">
        <v>0</v>
      </c>
      <c r="AB31" s="18" t="s">
        <v>8</v>
      </c>
      <c r="AC31" s="18" t="s">
        <v>8</v>
      </c>
      <c r="AD31" s="18" t="s">
        <v>8</v>
      </c>
      <c r="AE31" s="18" t="s">
        <v>8</v>
      </c>
      <c r="AF31" s="18" t="s">
        <v>8</v>
      </c>
      <c r="AG31" s="18" t="s">
        <v>8</v>
      </c>
      <c r="AH31" s="18" t="s">
        <v>0</v>
      </c>
      <c r="AI31" s="18" t="s">
        <v>8</v>
      </c>
      <c r="AJ31" s="2"/>
    </row>
    <row r="32" spans="1:36" s="8" customFormat="1" ht="22" customHeight="1" thickBot="1" x14ac:dyDescent="0.3">
      <c r="A32" s="6"/>
      <c r="B32" s="65" t="s">
        <v>18</v>
      </c>
      <c r="C32" s="66"/>
      <c r="D32" s="7" t="s">
        <v>17</v>
      </c>
      <c r="E32" s="67" t="s">
        <v>11</v>
      </c>
      <c r="F32" s="68"/>
      <c r="G32" s="13">
        <f>COUNTIF(E31:AI31,"H")</f>
        <v>22</v>
      </c>
      <c r="H32" s="67" t="s">
        <v>12</v>
      </c>
      <c r="I32" s="68"/>
      <c r="J32" s="13">
        <f>COUNTIF(E31:AI31,"T")</f>
        <v>5</v>
      </c>
      <c r="K32" s="67" t="s">
        <v>13</v>
      </c>
      <c r="L32" s="68"/>
      <c r="M32" s="13">
        <f>COUNTIF(E31:AI31,"A") + COUNTIF(E31:AI31,"I")</f>
        <v>4</v>
      </c>
      <c r="N32" s="67" t="s">
        <v>14</v>
      </c>
      <c r="O32" s="68"/>
      <c r="P32" s="13">
        <f>IF((G32+J32+M32)=0,0,(G32+J32)/(G32+J32+M32)*100)</f>
        <v>87.096774193548384</v>
      </c>
      <c r="Q32" s="67"/>
      <c r="R32" s="68"/>
      <c r="S32" s="13"/>
      <c r="T32" s="67"/>
      <c r="U32" s="68"/>
      <c r="V32" s="14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6"/>
    </row>
    <row r="33" spans="1:36" ht="22" customHeight="1" x14ac:dyDescent="0.35">
      <c r="A33" s="2"/>
      <c r="B33" s="72" t="s">
        <v>36</v>
      </c>
      <c r="C33" s="72"/>
      <c r="D33" s="72"/>
      <c r="E33" s="16" t="s">
        <v>8</v>
      </c>
      <c r="F33" s="16" t="s">
        <v>0</v>
      </c>
      <c r="G33" s="17" t="s">
        <v>8</v>
      </c>
      <c r="H33" s="17" t="s">
        <v>8</v>
      </c>
      <c r="I33" s="17" t="s">
        <v>8</v>
      </c>
      <c r="J33" s="17" t="s">
        <v>8</v>
      </c>
      <c r="K33" s="17" t="s">
        <v>8</v>
      </c>
      <c r="L33" s="19" t="s">
        <v>8</v>
      </c>
      <c r="M33" s="19" t="s">
        <v>9</v>
      </c>
      <c r="N33" s="18" t="s">
        <v>9</v>
      </c>
      <c r="O33" s="18" t="s">
        <v>8</v>
      </c>
      <c r="P33" s="18" t="s">
        <v>9</v>
      </c>
      <c r="Q33" s="18" t="s">
        <v>8</v>
      </c>
      <c r="R33" s="18" t="s">
        <v>8</v>
      </c>
      <c r="S33" s="18" t="s">
        <v>8</v>
      </c>
      <c r="T33" s="18" t="s">
        <v>8</v>
      </c>
      <c r="U33" s="18" t="s">
        <v>9</v>
      </c>
      <c r="V33" s="18" t="s">
        <v>8</v>
      </c>
      <c r="W33" s="18" t="s">
        <v>8</v>
      </c>
      <c r="X33" s="18" t="s">
        <v>8</v>
      </c>
      <c r="Y33" s="18" t="s">
        <v>9</v>
      </c>
      <c r="Z33" s="18" t="s">
        <v>0</v>
      </c>
      <c r="AA33" s="18" t="s">
        <v>0</v>
      </c>
      <c r="AB33" s="18" t="s">
        <v>8</v>
      </c>
      <c r="AC33" s="18" t="s">
        <v>8</v>
      </c>
      <c r="AD33" s="18" t="s">
        <v>8</v>
      </c>
      <c r="AE33" s="18" t="s">
        <v>8</v>
      </c>
      <c r="AF33" s="18" t="s">
        <v>8</v>
      </c>
      <c r="AG33" s="18" t="s">
        <v>8</v>
      </c>
      <c r="AH33" s="18" t="s">
        <v>0</v>
      </c>
      <c r="AI33" s="18" t="s">
        <v>8</v>
      </c>
      <c r="AJ33" s="2"/>
    </row>
    <row r="34" spans="1:36" s="8" customFormat="1" ht="22" customHeight="1" thickBot="1" x14ac:dyDescent="0.3">
      <c r="A34" s="6"/>
      <c r="B34" s="65" t="s">
        <v>18</v>
      </c>
      <c r="C34" s="66"/>
      <c r="D34" s="7" t="s">
        <v>17</v>
      </c>
      <c r="E34" s="67" t="s">
        <v>11</v>
      </c>
      <c r="F34" s="68"/>
      <c r="G34" s="13">
        <f>COUNTIF(E33:AI33,"H")</f>
        <v>22</v>
      </c>
      <c r="H34" s="67" t="s">
        <v>12</v>
      </c>
      <c r="I34" s="68"/>
      <c r="J34" s="13">
        <f>COUNTIF(E33:AI33,"T")</f>
        <v>5</v>
      </c>
      <c r="K34" s="67" t="s">
        <v>13</v>
      </c>
      <c r="L34" s="68"/>
      <c r="M34" s="13">
        <f>COUNTIF(E33:AI33,"A") + COUNTIF(E33:AI33,"I")</f>
        <v>4</v>
      </c>
      <c r="N34" s="67" t="s">
        <v>14</v>
      </c>
      <c r="O34" s="68"/>
      <c r="P34" s="13">
        <f>IF((G34+J34+M34)=0,0,(G34+J34)/(G34+J34+M34)*100)</f>
        <v>87.096774193548384</v>
      </c>
      <c r="Q34" s="67"/>
      <c r="R34" s="68"/>
      <c r="S34" s="13"/>
      <c r="T34" s="67"/>
      <c r="U34" s="68"/>
      <c r="V34" s="14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6"/>
    </row>
    <row r="35" spans="1:36" s="10" customFormat="1" ht="22" customHeight="1" x14ac:dyDescent="0.25">
      <c r="A35" s="9"/>
      <c r="B35" s="69" t="s">
        <v>37</v>
      </c>
      <c r="C35" s="70"/>
      <c r="D35" s="71"/>
      <c r="E35" s="16" t="s">
        <v>8</v>
      </c>
      <c r="F35" s="16" t="s">
        <v>0</v>
      </c>
      <c r="G35" s="17" t="s">
        <v>8</v>
      </c>
      <c r="H35" s="17" t="s">
        <v>8</v>
      </c>
      <c r="I35" s="17" t="s">
        <v>8</v>
      </c>
      <c r="J35" s="17" t="s">
        <v>8</v>
      </c>
      <c r="K35" s="17" t="s">
        <v>8</v>
      </c>
      <c r="L35" s="19" t="s">
        <v>8</v>
      </c>
      <c r="M35" s="19" t="s">
        <v>9</v>
      </c>
      <c r="N35" s="18" t="s">
        <v>9</v>
      </c>
      <c r="O35" s="18" t="s">
        <v>8</v>
      </c>
      <c r="P35" s="18" t="s">
        <v>9</v>
      </c>
      <c r="Q35" s="18" t="s">
        <v>8</v>
      </c>
      <c r="R35" s="18" t="s">
        <v>8</v>
      </c>
      <c r="S35" s="18" t="s">
        <v>8</v>
      </c>
      <c r="T35" s="18" t="s">
        <v>8</v>
      </c>
      <c r="U35" s="18" t="s">
        <v>9</v>
      </c>
      <c r="V35" s="18" t="s">
        <v>8</v>
      </c>
      <c r="W35" s="18" t="s">
        <v>8</v>
      </c>
      <c r="X35" s="18" t="s">
        <v>8</v>
      </c>
      <c r="Y35" s="18" t="s">
        <v>9</v>
      </c>
      <c r="Z35" s="18" t="s">
        <v>0</v>
      </c>
      <c r="AA35" s="18" t="s">
        <v>0</v>
      </c>
      <c r="AB35" s="18" t="s">
        <v>8</v>
      </c>
      <c r="AC35" s="18" t="s">
        <v>8</v>
      </c>
      <c r="AD35" s="18" t="s">
        <v>8</v>
      </c>
      <c r="AE35" s="18" t="s">
        <v>8</v>
      </c>
      <c r="AF35" s="18" t="s">
        <v>8</v>
      </c>
      <c r="AG35" s="18" t="s">
        <v>8</v>
      </c>
      <c r="AH35" s="18" t="s">
        <v>0</v>
      </c>
      <c r="AI35" s="18" t="s">
        <v>8</v>
      </c>
      <c r="AJ35" s="9"/>
    </row>
    <row r="36" spans="1:36" s="8" customFormat="1" ht="22" customHeight="1" thickBot="1" x14ac:dyDescent="0.3">
      <c r="A36" s="6"/>
      <c r="B36" s="65" t="s">
        <v>18</v>
      </c>
      <c r="C36" s="66"/>
      <c r="D36" s="7" t="s">
        <v>17</v>
      </c>
      <c r="E36" s="67" t="s">
        <v>11</v>
      </c>
      <c r="F36" s="68"/>
      <c r="G36" s="13">
        <f>COUNTIF(E35:AI35,"H")</f>
        <v>22</v>
      </c>
      <c r="H36" s="67" t="s">
        <v>12</v>
      </c>
      <c r="I36" s="68"/>
      <c r="J36" s="13">
        <f>COUNTIF(E35:AI35,"T")</f>
        <v>5</v>
      </c>
      <c r="K36" s="67" t="s">
        <v>13</v>
      </c>
      <c r="L36" s="68"/>
      <c r="M36" s="13">
        <f>COUNTIF(E35:AI35,"A") + COUNTIF(E35:AI35,"I")</f>
        <v>4</v>
      </c>
      <c r="N36" s="67" t="s">
        <v>14</v>
      </c>
      <c r="O36" s="68"/>
      <c r="P36" s="13">
        <f>IF((G36+J36+M36)=0,0,(G36+J36)/(G36+J36+M36)*100)</f>
        <v>87.096774193548384</v>
      </c>
      <c r="Q36" s="67"/>
      <c r="R36" s="68"/>
      <c r="S36" s="13"/>
      <c r="T36" s="67"/>
      <c r="U36" s="68"/>
      <c r="V36" s="14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6"/>
    </row>
    <row r="37" spans="1:36" s="10" customFormat="1" ht="22" customHeight="1" x14ac:dyDescent="0.25">
      <c r="A37" s="9"/>
      <c r="B37" s="69" t="s">
        <v>38</v>
      </c>
      <c r="C37" s="70"/>
      <c r="D37" s="71"/>
      <c r="E37" s="16" t="s">
        <v>8</v>
      </c>
      <c r="F37" s="16" t="s">
        <v>0</v>
      </c>
      <c r="G37" s="17" t="s">
        <v>8</v>
      </c>
      <c r="H37" s="17" t="s">
        <v>8</v>
      </c>
      <c r="I37" s="17" t="s">
        <v>8</v>
      </c>
      <c r="J37" s="17" t="s">
        <v>8</v>
      </c>
      <c r="K37" s="17" t="s">
        <v>8</v>
      </c>
      <c r="L37" s="19" t="s">
        <v>8</v>
      </c>
      <c r="M37" s="19" t="s">
        <v>9</v>
      </c>
      <c r="N37" s="18" t="s">
        <v>9</v>
      </c>
      <c r="O37" s="18" t="s">
        <v>8</v>
      </c>
      <c r="P37" s="18" t="s">
        <v>9</v>
      </c>
      <c r="Q37" s="18" t="s">
        <v>8</v>
      </c>
      <c r="R37" s="18" t="s">
        <v>8</v>
      </c>
      <c r="S37" s="18" t="s">
        <v>8</v>
      </c>
      <c r="T37" s="18" t="s">
        <v>8</v>
      </c>
      <c r="U37" s="18" t="s">
        <v>9</v>
      </c>
      <c r="V37" s="18" t="s">
        <v>8</v>
      </c>
      <c r="W37" s="18" t="s">
        <v>8</v>
      </c>
      <c r="X37" s="18" t="s">
        <v>8</v>
      </c>
      <c r="Y37" s="18" t="s">
        <v>9</v>
      </c>
      <c r="Z37" s="18" t="s">
        <v>0</v>
      </c>
      <c r="AA37" s="18" t="s">
        <v>0</v>
      </c>
      <c r="AB37" s="18" t="s">
        <v>8</v>
      </c>
      <c r="AC37" s="18" t="s">
        <v>8</v>
      </c>
      <c r="AD37" s="18" t="s">
        <v>8</v>
      </c>
      <c r="AE37" s="18" t="s">
        <v>8</v>
      </c>
      <c r="AF37" s="18" t="s">
        <v>8</v>
      </c>
      <c r="AG37" s="18" t="s">
        <v>8</v>
      </c>
      <c r="AH37" s="18" t="s">
        <v>0</v>
      </c>
      <c r="AI37" s="18" t="s">
        <v>8</v>
      </c>
      <c r="AJ37" s="9"/>
    </row>
    <row r="38" spans="1:36" s="8" customFormat="1" ht="22" customHeight="1" thickBot="1" x14ac:dyDescent="0.3">
      <c r="A38" s="6"/>
      <c r="B38" s="65" t="s">
        <v>18</v>
      </c>
      <c r="C38" s="66"/>
      <c r="D38" s="7" t="s">
        <v>17</v>
      </c>
      <c r="E38" s="67" t="s">
        <v>11</v>
      </c>
      <c r="F38" s="68"/>
      <c r="G38" s="13">
        <f>COUNTIF(E37:AI37,"H")</f>
        <v>22</v>
      </c>
      <c r="H38" s="67" t="s">
        <v>12</v>
      </c>
      <c r="I38" s="68"/>
      <c r="J38" s="13">
        <f>COUNTIF(E37:AI37,"T")</f>
        <v>5</v>
      </c>
      <c r="K38" s="67" t="s">
        <v>13</v>
      </c>
      <c r="L38" s="68"/>
      <c r="M38" s="13">
        <f>COUNTIF(E37:AI37,"A") + COUNTIF(E37:AI37,"I")</f>
        <v>4</v>
      </c>
      <c r="N38" s="67" t="s">
        <v>14</v>
      </c>
      <c r="O38" s="68"/>
      <c r="P38" s="13">
        <f>IF((G38+J38+M38)=0,0,(G38+J38)/(G38+J38+M38)*100)</f>
        <v>87.096774193548384</v>
      </c>
      <c r="Q38" s="67"/>
      <c r="R38" s="68"/>
      <c r="S38" s="13"/>
      <c r="T38" s="67"/>
      <c r="U38" s="68"/>
      <c r="V38" s="14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6"/>
    </row>
    <row r="39" spans="1:36" s="10" customFormat="1" ht="22" customHeight="1" x14ac:dyDescent="0.25">
      <c r="A39" s="9"/>
      <c r="B39" s="69" t="s">
        <v>39</v>
      </c>
      <c r="C39" s="70"/>
      <c r="D39" s="71"/>
      <c r="E39" s="16" t="s">
        <v>8</v>
      </c>
      <c r="F39" s="16" t="s">
        <v>0</v>
      </c>
      <c r="G39" s="17" t="s">
        <v>8</v>
      </c>
      <c r="H39" s="17" t="s">
        <v>8</v>
      </c>
      <c r="I39" s="17" t="s">
        <v>8</v>
      </c>
      <c r="J39" s="17" t="s">
        <v>8</v>
      </c>
      <c r="K39" s="17" t="s">
        <v>8</v>
      </c>
      <c r="L39" s="19" t="s">
        <v>8</v>
      </c>
      <c r="M39" s="19" t="s">
        <v>9</v>
      </c>
      <c r="N39" s="18" t="s">
        <v>9</v>
      </c>
      <c r="O39" s="18" t="s">
        <v>8</v>
      </c>
      <c r="P39" s="18" t="s">
        <v>9</v>
      </c>
      <c r="Q39" s="18" t="s">
        <v>8</v>
      </c>
      <c r="R39" s="18" t="s">
        <v>8</v>
      </c>
      <c r="S39" s="18" t="s">
        <v>8</v>
      </c>
      <c r="T39" s="18" t="s">
        <v>8</v>
      </c>
      <c r="U39" s="18" t="s">
        <v>9</v>
      </c>
      <c r="V39" s="18" t="s">
        <v>8</v>
      </c>
      <c r="W39" s="18" t="s">
        <v>8</v>
      </c>
      <c r="X39" s="18" t="s">
        <v>8</v>
      </c>
      <c r="Y39" s="18" t="s">
        <v>9</v>
      </c>
      <c r="Z39" s="18" t="s">
        <v>0</v>
      </c>
      <c r="AA39" s="18" t="s">
        <v>0</v>
      </c>
      <c r="AB39" s="18" t="s">
        <v>8</v>
      </c>
      <c r="AC39" s="18" t="s">
        <v>8</v>
      </c>
      <c r="AD39" s="18" t="s">
        <v>8</v>
      </c>
      <c r="AE39" s="18" t="s">
        <v>8</v>
      </c>
      <c r="AF39" s="18" t="s">
        <v>8</v>
      </c>
      <c r="AG39" s="18" t="s">
        <v>8</v>
      </c>
      <c r="AH39" s="18" t="s">
        <v>0</v>
      </c>
      <c r="AI39" s="18" t="s">
        <v>8</v>
      </c>
      <c r="AJ39" s="9"/>
    </row>
    <row r="40" spans="1:36" s="8" customFormat="1" ht="22" customHeight="1" thickBot="1" x14ac:dyDescent="0.3">
      <c r="A40" s="6"/>
      <c r="B40" s="65" t="s">
        <v>18</v>
      </c>
      <c r="C40" s="66"/>
      <c r="D40" s="7" t="s">
        <v>17</v>
      </c>
      <c r="E40" s="67" t="s">
        <v>11</v>
      </c>
      <c r="F40" s="68"/>
      <c r="G40" s="13">
        <f>COUNTIF(E39:AI39,"H")</f>
        <v>22</v>
      </c>
      <c r="H40" s="67" t="s">
        <v>12</v>
      </c>
      <c r="I40" s="68"/>
      <c r="J40" s="13">
        <f>COUNTIF(E39:AI39,"T")</f>
        <v>5</v>
      </c>
      <c r="K40" s="67" t="s">
        <v>13</v>
      </c>
      <c r="L40" s="68"/>
      <c r="M40" s="13">
        <f>COUNTIF(E39:AI39,"A") + COUNTIF(E39:AI39,"I")</f>
        <v>4</v>
      </c>
      <c r="N40" s="67" t="s">
        <v>14</v>
      </c>
      <c r="O40" s="68"/>
      <c r="P40" s="13">
        <f>IF((G40+J40+M40)=0,0,(G40+J40)/(G40+J40+M40)*100)</f>
        <v>87.096774193548384</v>
      </c>
      <c r="Q40" s="67"/>
      <c r="R40" s="68"/>
      <c r="S40" s="13"/>
      <c r="T40" s="67"/>
      <c r="U40" s="68"/>
      <c r="V40" s="14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6"/>
    </row>
    <row r="41" spans="1:36" s="10" customFormat="1" ht="22" customHeight="1" x14ac:dyDescent="0.25">
      <c r="A41" s="9"/>
      <c r="B41" s="69" t="s">
        <v>40</v>
      </c>
      <c r="C41" s="70"/>
      <c r="D41" s="71"/>
      <c r="E41" s="16" t="s">
        <v>8</v>
      </c>
      <c r="F41" s="16" t="s">
        <v>0</v>
      </c>
      <c r="G41" s="17" t="s">
        <v>8</v>
      </c>
      <c r="H41" s="17" t="s">
        <v>8</v>
      </c>
      <c r="I41" s="17" t="s">
        <v>8</v>
      </c>
      <c r="J41" s="17" t="s">
        <v>8</v>
      </c>
      <c r="K41" s="17" t="s">
        <v>8</v>
      </c>
      <c r="L41" s="19" t="s">
        <v>8</v>
      </c>
      <c r="M41" s="19" t="s">
        <v>9</v>
      </c>
      <c r="N41" s="18" t="s">
        <v>9</v>
      </c>
      <c r="O41" s="18" t="s">
        <v>8</v>
      </c>
      <c r="P41" s="18" t="s">
        <v>9</v>
      </c>
      <c r="Q41" s="18" t="s">
        <v>8</v>
      </c>
      <c r="R41" s="18" t="s">
        <v>8</v>
      </c>
      <c r="S41" s="18" t="s">
        <v>8</v>
      </c>
      <c r="T41" s="18" t="s">
        <v>8</v>
      </c>
      <c r="U41" s="18" t="s">
        <v>9</v>
      </c>
      <c r="V41" s="18" t="s">
        <v>8</v>
      </c>
      <c r="W41" s="18" t="s">
        <v>8</v>
      </c>
      <c r="X41" s="18" t="s">
        <v>8</v>
      </c>
      <c r="Y41" s="18" t="s">
        <v>9</v>
      </c>
      <c r="Z41" s="18" t="s">
        <v>0</v>
      </c>
      <c r="AA41" s="18" t="s">
        <v>0</v>
      </c>
      <c r="AB41" s="18" t="s">
        <v>8</v>
      </c>
      <c r="AC41" s="18" t="s">
        <v>8</v>
      </c>
      <c r="AD41" s="18" t="s">
        <v>8</v>
      </c>
      <c r="AE41" s="18" t="s">
        <v>8</v>
      </c>
      <c r="AF41" s="18" t="s">
        <v>8</v>
      </c>
      <c r="AG41" s="18" t="s">
        <v>8</v>
      </c>
      <c r="AH41" s="18" t="s">
        <v>0</v>
      </c>
      <c r="AI41" s="18" t="s">
        <v>8</v>
      </c>
      <c r="AJ41" s="9"/>
    </row>
    <row r="42" spans="1:36" s="8" customFormat="1" ht="22" customHeight="1" thickBot="1" x14ac:dyDescent="0.3">
      <c r="A42" s="6"/>
      <c r="B42" s="65" t="s">
        <v>18</v>
      </c>
      <c r="C42" s="66"/>
      <c r="D42" s="7" t="s">
        <v>17</v>
      </c>
      <c r="E42" s="67" t="s">
        <v>11</v>
      </c>
      <c r="F42" s="68"/>
      <c r="G42" s="13">
        <f>COUNTIF(E41:AI41,"H")</f>
        <v>22</v>
      </c>
      <c r="H42" s="67" t="s">
        <v>12</v>
      </c>
      <c r="I42" s="68"/>
      <c r="J42" s="13">
        <f>COUNTIF(E41:AI41,"T")</f>
        <v>5</v>
      </c>
      <c r="K42" s="67" t="s">
        <v>13</v>
      </c>
      <c r="L42" s="68"/>
      <c r="M42" s="13">
        <f>COUNTIF(E41:AI41,"A") + COUNTIF(E41:AI41,"I")</f>
        <v>4</v>
      </c>
      <c r="N42" s="67" t="s">
        <v>14</v>
      </c>
      <c r="O42" s="68"/>
      <c r="P42" s="13">
        <f>IF((G42+J42+M42)=0,0,(G42+J42)/(G42+J42+M42)*100)</f>
        <v>87.096774193548384</v>
      </c>
      <c r="Q42" s="67"/>
      <c r="R42" s="68"/>
      <c r="S42" s="13"/>
      <c r="T42" s="67"/>
      <c r="U42" s="68"/>
      <c r="V42" s="14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6"/>
    </row>
    <row r="43" spans="1:36" s="10" customFormat="1" ht="22" customHeight="1" x14ac:dyDescent="0.25">
      <c r="A43" s="9"/>
      <c r="B43" s="62" t="s">
        <v>41</v>
      </c>
      <c r="C43" s="63"/>
      <c r="D43" s="64"/>
      <c r="E43" s="16" t="s">
        <v>8</v>
      </c>
      <c r="F43" s="16" t="s">
        <v>0</v>
      </c>
      <c r="G43" s="17" t="s">
        <v>8</v>
      </c>
      <c r="H43" s="17" t="s">
        <v>8</v>
      </c>
      <c r="I43" s="17" t="s">
        <v>8</v>
      </c>
      <c r="J43" s="17" t="s">
        <v>8</v>
      </c>
      <c r="K43" s="17" t="s">
        <v>8</v>
      </c>
      <c r="L43" s="19" t="s">
        <v>8</v>
      </c>
      <c r="M43" s="19" t="s">
        <v>9</v>
      </c>
      <c r="N43" s="18" t="s">
        <v>9</v>
      </c>
      <c r="O43" s="18" t="s">
        <v>8</v>
      </c>
      <c r="P43" s="18" t="s">
        <v>9</v>
      </c>
      <c r="Q43" s="18" t="s">
        <v>8</v>
      </c>
      <c r="R43" s="18" t="s">
        <v>8</v>
      </c>
      <c r="S43" s="18" t="s">
        <v>8</v>
      </c>
      <c r="T43" s="18" t="s">
        <v>8</v>
      </c>
      <c r="U43" s="18" t="s">
        <v>9</v>
      </c>
      <c r="V43" s="18" t="s">
        <v>8</v>
      </c>
      <c r="W43" s="18" t="s">
        <v>8</v>
      </c>
      <c r="X43" s="18" t="s">
        <v>8</v>
      </c>
      <c r="Y43" s="18" t="s">
        <v>9</v>
      </c>
      <c r="Z43" s="18" t="s">
        <v>0</v>
      </c>
      <c r="AA43" s="18" t="s">
        <v>0</v>
      </c>
      <c r="AB43" s="18" t="s">
        <v>8</v>
      </c>
      <c r="AC43" s="18" t="s">
        <v>8</v>
      </c>
      <c r="AD43" s="18" t="s">
        <v>8</v>
      </c>
      <c r="AE43" s="18" t="s">
        <v>8</v>
      </c>
      <c r="AF43" s="18" t="s">
        <v>8</v>
      </c>
      <c r="AG43" s="18" t="s">
        <v>8</v>
      </c>
      <c r="AH43" s="18" t="s">
        <v>0</v>
      </c>
      <c r="AI43" s="18" t="s">
        <v>8</v>
      </c>
      <c r="AJ43" s="9"/>
    </row>
    <row r="44" spans="1:36" s="8" customFormat="1" ht="22" customHeight="1" thickBot="1" x14ac:dyDescent="0.3">
      <c r="A44" s="6"/>
      <c r="B44" s="65" t="s">
        <v>18</v>
      </c>
      <c r="C44" s="66"/>
      <c r="D44" s="7" t="s">
        <v>17</v>
      </c>
      <c r="E44" s="67" t="s">
        <v>11</v>
      </c>
      <c r="F44" s="68"/>
      <c r="G44" s="13">
        <f>COUNTIF(E43:AI43,"H")</f>
        <v>22</v>
      </c>
      <c r="H44" s="67" t="s">
        <v>12</v>
      </c>
      <c r="I44" s="68"/>
      <c r="J44" s="13">
        <f>COUNTIF(E43:AI43,"T")</f>
        <v>5</v>
      </c>
      <c r="K44" s="67" t="s">
        <v>13</v>
      </c>
      <c r="L44" s="68"/>
      <c r="M44" s="13">
        <f>COUNTIF(E43:AI43,"A") + COUNTIF(E43:AI43,"I")</f>
        <v>4</v>
      </c>
      <c r="N44" s="67" t="s">
        <v>14</v>
      </c>
      <c r="O44" s="68"/>
      <c r="P44" s="13">
        <f>IF((G44+J44+M44)=0,0,(G44+J44)/(G44+J44+M44)*100)</f>
        <v>87.096774193548384</v>
      </c>
      <c r="Q44" s="67"/>
      <c r="R44" s="68"/>
      <c r="S44" s="13"/>
      <c r="T44" s="67"/>
      <c r="U44" s="68"/>
      <c r="V44" s="14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6"/>
    </row>
    <row r="45" spans="1:36" ht="22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ht="28.5" customHeight="1" x14ac:dyDescent="0.35">
      <c r="A46" s="2"/>
      <c r="B46" s="48" t="s">
        <v>19</v>
      </c>
      <c r="C46" s="48"/>
      <c r="D46" s="48"/>
      <c r="E46" s="48"/>
      <c r="F46" s="48"/>
      <c r="G46" s="48"/>
      <c r="H46" s="48"/>
      <c r="I46" s="48"/>
      <c r="J46" s="48"/>
      <c r="L46" s="49" t="s">
        <v>71</v>
      </c>
      <c r="M46" s="50"/>
      <c r="N46" s="50"/>
      <c r="O46" s="50"/>
      <c r="P46" s="50"/>
      <c r="Q46" s="50"/>
      <c r="R46" s="50"/>
      <c r="S46" s="50"/>
      <c r="T46" s="50"/>
      <c r="U46" s="50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6" ht="22" customHeight="1" x14ac:dyDescent="0.35">
      <c r="A47" s="2"/>
      <c r="B47" s="51"/>
      <c r="C47" s="51"/>
      <c r="D47" s="51"/>
      <c r="E47" s="51"/>
      <c r="F47" s="51"/>
      <c r="G47" s="51"/>
      <c r="H47" s="51"/>
      <c r="I47" s="51"/>
      <c r="J47" s="51"/>
      <c r="L47" s="52" t="s">
        <v>21</v>
      </c>
      <c r="M47" s="52"/>
      <c r="N47" s="52"/>
      <c r="O47" s="52"/>
      <c r="P47" s="52"/>
      <c r="Q47" s="52"/>
      <c r="R47" s="52"/>
      <c r="S47" s="52"/>
      <c r="T47" s="53">
        <v>31</v>
      </c>
      <c r="U47" s="54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6" ht="22" customHeight="1" x14ac:dyDescent="0.35">
      <c r="A48" s="2"/>
      <c r="B48" s="51"/>
      <c r="C48" s="51"/>
      <c r="D48" s="51"/>
      <c r="E48" s="51"/>
      <c r="F48" s="51"/>
      <c r="G48" s="51"/>
      <c r="H48" s="51"/>
      <c r="I48" s="51"/>
      <c r="J48" s="51"/>
      <c r="L48" s="52" t="s">
        <v>42</v>
      </c>
      <c r="M48" s="52"/>
      <c r="N48" s="52"/>
      <c r="O48" s="52"/>
      <c r="P48" s="52"/>
      <c r="Q48" s="52"/>
      <c r="R48" s="52"/>
      <c r="S48" s="52"/>
      <c r="T48" s="53">
        <v>20</v>
      </c>
      <c r="U48" s="54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1:36" ht="22" customHeight="1" x14ac:dyDescent="0.35">
      <c r="A49" s="2"/>
      <c r="B49" s="51"/>
      <c r="C49" s="51"/>
      <c r="D49" s="51"/>
      <c r="E49" s="51"/>
      <c r="F49" s="51"/>
      <c r="G49" s="51"/>
      <c r="H49" s="51"/>
      <c r="I49" s="51"/>
      <c r="J49" s="51"/>
      <c r="L49" s="55" t="s">
        <v>43</v>
      </c>
      <c r="M49" s="55"/>
      <c r="N49" s="55"/>
      <c r="O49" s="55"/>
      <c r="P49" s="55"/>
      <c r="Q49" s="55"/>
      <c r="R49" s="55"/>
      <c r="S49" s="55"/>
      <c r="T49" s="58">
        <f>T47*T48</f>
        <v>620</v>
      </c>
      <c r="U49" s="59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1:36" ht="22" customHeight="1" x14ac:dyDescent="0.35">
      <c r="A50" s="2"/>
      <c r="B50" s="51"/>
      <c r="C50" s="51"/>
      <c r="D50" s="51"/>
      <c r="E50" s="51"/>
      <c r="F50" s="51"/>
      <c r="G50" s="51"/>
      <c r="H50" s="51"/>
      <c r="I50" s="51"/>
      <c r="J50" s="51"/>
      <c r="L50" s="52" t="s">
        <v>44</v>
      </c>
      <c r="M50" s="52"/>
      <c r="N50" s="52"/>
      <c r="O50" s="52"/>
      <c r="P50" s="52"/>
      <c r="Q50" s="52"/>
      <c r="R50" s="52"/>
      <c r="S50" s="52"/>
      <c r="T50" s="60">
        <f>COUNTIF(E5:AI43,"H")</f>
        <v>444</v>
      </c>
      <c r="U50" s="61"/>
      <c r="AD50" s="2"/>
      <c r="AE50" s="2"/>
      <c r="AF50" s="2"/>
      <c r="AG50" s="2"/>
      <c r="AH50" s="2"/>
      <c r="AI50" s="2"/>
    </row>
    <row r="51" spans="1:36" ht="22" customHeight="1" x14ac:dyDescent="0.35">
      <c r="A51" s="2"/>
      <c r="B51" s="51"/>
      <c r="C51" s="51"/>
      <c r="D51" s="51"/>
      <c r="E51" s="51"/>
      <c r="F51" s="51"/>
      <c r="G51" s="51"/>
      <c r="H51" s="51"/>
      <c r="I51" s="51"/>
      <c r="J51" s="51"/>
      <c r="L51" s="52" t="s">
        <v>87</v>
      </c>
      <c r="M51" s="52"/>
      <c r="N51" s="52"/>
      <c r="O51" s="52"/>
      <c r="P51" s="52"/>
      <c r="Q51" s="52"/>
      <c r="R51" s="52"/>
      <c r="S51" s="52"/>
      <c r="T51" s="60">
        <f>COUNTIF(E5:AI43,"T")</f>
        <v>96</v>
      </c>
      <c r="U51" s="61"/>
      <c r="AD51" s="2"/>
      <c r="AE51" s="2"/>
      <c r="AF51" s="2"/>
      <c r="AG51" s="2"/>
      <c r="AH51" s="2"/>
      <c r="AI51" s="2"/>
    </row>
    <row r="52" spans="1:36" ht="22" customHeight="1" x14ac:dyDescent="0.35">
      <c r="A52" s="2"/>
      <c r="B52" s="51"/>
      <c r="C52" s="51"/>
      <c r="D52" s="51"/>
      <c r="E52" s="51"/>
      <c r="F52" s="51"/>
      <c r="G52" s="51"/>
      <c r="H52" s="51"/>
      <c r="I52" s="51"/>
      <c r="J52" s="51"/>
      <c r="L52" s="52" t="s">
        <v>88</v>
      </c>
      <c r="M52" s="52"/>
      <c r="N52" s="52"/>
      <c r="O52" s="52"/>
      <c r="P52" s="52"/>
      <c r="Q52" s="52"/>
      <c r="R52" s="52"/>
      <c r="S52" s="52"/>
      <c r="T52" s="60">
        <f>COUNTIF(E5:AI43,"A")+COUNTIF(E5:AI43,"I")</f>
        <v>80</v>
      </c>
      <c r="U52" s="61"/>
      <c r="AD52" s="2"/>
      <c r="AE52" s="2"/>
      <c r="AF52" s="2"/>
      <c r="AG52" s="2"/>
      <c r="AH52" s="2"/>
      <c r="AI52" s="2"/>
    </row>
    <row r="53" spans="1:36" ht="22" customHeight="1" x14ac:dyDescent="0.35">
      <c r="A53" s="2"/>
      <c r="B53" s="51"/>
      <c r="C53" s="51"/>
      <c r="D53" s="51"/>
      <c r="E53" s="51"/>
      <c r="F53" s="51"/>
      <c r="G53" s="51"/>
      <c r="H53" s="51"/>
      <c r="I53" s="51"/>
      <c r="J53" s="51"/>
      <c r="L53" s="52" t="s">
        <v>47</v>
      </c>
      <c r="M53" s="52"/>
      <c r="N53" s="52"/>
      <c r="O53" s="52"/>
      <c r="P53" s="52"/>
      <c r="Q53" s="52"/>
      <c r="R53" s="52"/>
      <c r="S53" s="52"/>
      <c r="T53" s="56">
        <f>IF((T50+T51+T52)=0,0,(T50+T51)/( T50+T51+T52))</f>
        <v>0.87096774193548387</v>
      </c>
      <c r="U53" s="57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1:36" ht="16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ht="16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ht="16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ht="16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ht="16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ht="16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ht="16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spans="1:36" ht="16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ht="16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6" ht="16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ht="16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ht="16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ht="16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spans="1:36" ht="16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6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spans="1:36" ht="16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spans="1:36" ht="16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spans="1:36" ht="16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spans="1:36" ht="16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spans="1:36" ht="16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6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6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6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spans="1:36" ht="16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spans="1:36" ht="16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spans="1:36" ht="16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6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6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spans="1:36" ht="16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spans="1:36" ht="16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spans="1:36" ht="16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spans="1:36" ht="16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spans="1:36" ht="16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spans="1:36" ht="16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spans="1:36" ht="16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6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spans="1:36" ht="16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spans="1:36" ht="16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spans="1:36" ht="16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spans="1:36" ht="16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spans="1:36" ht="16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spans="1:36" ht="16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spans="1:36" ht="16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spans="1:36" ht="16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spans="1:36" ht="16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spans="1:36" ht="16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spans="1:36" ht="16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spans="1:36" ht="16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spans="1:36" ht="16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spans="1:36" ht="16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spans="1:36" ht="16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spans="1:36" ht="16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spans="1:36" ht="16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spans="1:36" ht="16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spans="1:36" ht="16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spans="1:36" ht="16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spans="1:36" ht="16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spans="1:36" ht="16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spans="1:36" ht="16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spans="1:36" ht="16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spans="1:36" ht="16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spans="1:36" ht="16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spans="1:36" ht="16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spans="1:36" ht="16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spans="1:36" ht="16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spans="1:36" ht="16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spans="1:36" ht="16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6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6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6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6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6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6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6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6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6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6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6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6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6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6" ht="16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6" ht="16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6" ht="16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6" ht="16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6" ht="16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6" ht="16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spans="1:36" ht="16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spans="1:36" ht="16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spans="1:36" ht="16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spans="1:36" ht="16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spans="1:36" ht="16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spans="1:36" ht="16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spans="1:36" ht="16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spans="1:36" ht="16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spans="1:36" ht="16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spans="1:36" ht="16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spans="1:36" ht="16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spans="1:36" ht="16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spans="1:36" ht="16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spans="1:36" ht="16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spans="1:36" ht="16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spans="1:36" ht="16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spans="1:36" ht="16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spans="1:36" ht="16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spans="1:36" ht="16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spans="1:36" ht="16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spans="1:36" ht="16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spans="1:36" ht="16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spans="1:36" ht="16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spans="1:36" ht="16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spans="1:36" ht="16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spans="1:36" ht="16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spans="1:36" ht="16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spans="1:36" ht="16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spans="1:36" ht="16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spans="1:36" ht="16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spans="1:36" ht="16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spans="1:36" ht="16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spans="1:36" ht="16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spans="1:36" ht="16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spans="1:36" ht="16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spans="1:36" ht="16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spans="1:36" ht="16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spans="1:36" ht="16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spans="1:36" ht="16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spans="1:36" ht="16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spans="1:36" ht="16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spans="1:36" ht="16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spans="1:36" ht="16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spans="1:36" ht="16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spans="1:36" ht="16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spans="1:36" ht="16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spans="1:36" ht="16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spans="1:36" ht="16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spans="1:36" ht="16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spans="1:36" ht="16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spans="1:36" ht="16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spans="1:36" ht="16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spans="1:36" ht="16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spans="1:36" ht="16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spans="1:36" ht="16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spans="1:36" ht="16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spans="1:36" ht="16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spans="1:36" ht="16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spans="1:36" ht="16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spans="1:36" ht="16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spans="1:36" ht="16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spans="1:36" ht="16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spans="1:36" ht="16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spans="1:36" ht="16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spans="1:36" ht="16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spans="1:36" ht="16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spans="1:36" ht="16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spans="1:36" ht="16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spans="1:36" ht="16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spans="1:36" ht="16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spans="1:36" ht="16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spans="1:36" ht="16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spans="1:36" ht="16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spans="1:36" ht="16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spans="1:36" ht="16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spans="1:36" ht="16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spans="1:36" ht="16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spans="1:36" ht="16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spans="1:36" ht="16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spans="1:36" ht="16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spans="1:36" ht="16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spans="1:36" ht="16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spans="1:36" ht="16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spans="1:36" ht="16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spans="1:36" ht="16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spans="1:36" ht="16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spans="1:36" ht="16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spans="1:36" ht="16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spans="1:36" ht="16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spans="1:36" ht="16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spans="1:36" ht="16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spans="1:36" ht="16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spans="1:36" ht="16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spans="1:36" ht="16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spans="1:36" ht="16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spans="1:36" ht="16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spans="1:36" ht="16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spans="1:36" ht="16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spans="1:36" ht="16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spans="1:36" ht="16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spans="1:36" ht="16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spans="1:36" ht="16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spans="1:36" ht="16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spans="1:36" ht="16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spans="1:36" ht="16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spans="1:36" ht="16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spans="1:36" ht="16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spans="1:36" ht="16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spans="1:36" ht="16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spans="1:36" ht="16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spans="1:36" ht="16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spans="1:36" ht="16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spans="1:36" ht="16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spans="1:36" ht="16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spans="1:36" ht="16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spans="1:36" ht="16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spans="1:36" ht="16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spans="1:36" ht="16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spans="1:36" ht="16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spans="1:36" ht="16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spans="1:36" ht="16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spans="1:36" ht="16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spans="1:36" ht="16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spans="1:36" ht="16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spans="1:36" ht="16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spans="1:36" ht="16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spans="1:36" ht="16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spans="1:36" ht="16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spans="1:36" ht="16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spans="1:36" ht="16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spans="1:36" ht="16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spans="1:36" ht="16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spans="1:36" ht="16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spans="1:36" ht="16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spans="1:36" ht="16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spans="1:36" ht="16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spans="1:36" ht="16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spans="1:36" ht="16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spans="1:36" ht="16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spans="1:36" ht="16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spans="1:36" ht="16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spans="1:36" ht="16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spans="1:36" ht="16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spans="1:36" ht="16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spans="1:36" ht="16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spans="1:36" ht="16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spans="1:36" ht="16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spans="1:36" ht="16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spans="1:36" ht="16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spans="1:36" ht="16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spans="1:36" ht="16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spans="1:36" ht="16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spans="1:36" ht="16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spans="1:36" ht="16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spans="1:36" ht="16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spans="1:36" ht="16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spans="1:36" ht="16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spans="1:36" ht="16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spans="1:36" ht="16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spans="1:36" ht="16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spans="1:36" ht="16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spans="1:36" ht="16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spans="1:36" ht="16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spans="1:36" ht="16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spans="1:36" ht="16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spans="1:36" ht="16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spans="1:36" ht="16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spans="1:36" ht="16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spans="1:36" ht="16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spans="1:36" ht="16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spans="1:36" ht="16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spans="1:36" ht="16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spans="1:36" ht="16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spans="1:36" ht="16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spans="1:36" ht="16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spans="1:36" ht="16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spans="1:36" ht="16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spans="1:36" ht="16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spans="1:36" ht="16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spans="1:36" ht="16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spans="1:36" ht="16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spans="1:36" ht="16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spans="1:36" ht="16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spans="1:36" ht="16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spans="1:36" ht="16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spans="1:36" ht="16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spans="1:36" ht="16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spans="1:36" ht="16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spans="1:36" ht="16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spans="1:36" ht="16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spans="1:36" ht="16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spans="1:36" ht="16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spans="1:36" ht="16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spans="1:36" ht="16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spans="1:36" ht="16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spans="1:36" ht="16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spans="1:36" ht="16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spans="1:36" ht="16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spans="1:36" ht="16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spans="1:36" ht="16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spans="1:36" ht="16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spans="1:36" ht="16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spans="1:36" ht="16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spans="1:36" ht="16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spans="1:36" ht="16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spans="1:36" ht="16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spans="1:36" ht="16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spans="1:36" ht="16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spans="1:36" ht="16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spans="1:36" ht="16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spans="1:36" ht="16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spans="1:36" ht="16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spans="1:36" ht="16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spans="1:36" ht="16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spans="1:36" ht="16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spans="1:36" ht="16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spans="1:36" ht="16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spans="1:36" ht="16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spans="1:36" ht="16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spans="1:36" ht="16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spans="1:36" ht="16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spans="1:36" ht="16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spans="1:36" ht="16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spans="1:36" ht="16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spans="1:36" ht="16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spans="1:36" ht="16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spans="1:36" ht="16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spans="1:36" ht="16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spans="1:36" ht="16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spans="1:36" ht="16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spans="1:36" ht="16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spans="1:36" ht="16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spans="1:36" ht="16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spans="1:36" ht="16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spans="1:36" ht="16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spans="1:36" ht="16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spans="1:36" ht="16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spans="1:36" ht="16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spans="1:36" ht="16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spans="1:36" ht="16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spans="1:36" ht="16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spans="1:36" ht="16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spans="1:36" ht="16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spans="1:36" ht="16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spans="1:36" ht="16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spans="1:36" ht="16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spans="1:36" ht="16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spans="1:36" ht="16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spans="1:36" ht="16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spans="1:36" ht="16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spans="1:36" ht="16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spans="1:36" ht="16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spans="1:36" ht="16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spans="1:36" ht="16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spans="1:36" ht="16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spans="1:36" ht="16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spans="1:36" ht="16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spans="1:36" ht="16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spans="1:36" ht="16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spans="1:36" ht="16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spans="1:36" ht="16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spans="1:36" ht="16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spans="1:36" ht="16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spans="1:36" ht="16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spans="1:36" ht="16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spans="1:36" ht="16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spans="1:36" ht="16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spans="1:36" ht="16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spans="1:36" ht="16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spans="1:36" ht="16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spans="1:36" ht="16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spans="1:36" ht="16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spans="1:36" ht="16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spans="1:36" ht="16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spans="1:36" ht="16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spans="1:36" ht="16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spans="1:36" ht="16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spans="1:36" ht="16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spans="1:36" ht="16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spans="1:36" ht="16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spans="1:36" ht="16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spans="1:36" ht="16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spans="1:36" ht="16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spans="1:36" ht="16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spans="1:36" ht="16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spans="1:36" ht="16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spans="1:36" ht="16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spans="1:36" ht="16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spans="1:36" ht="16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spans="1:36" ht="16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spans="1:36" ht="16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spans="1:36" ht="16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spans="1:36" ht="16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spans="1:36" ht="16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spans="1:36" ht="16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spans="1:36" ht="16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spans="1:36" ht="16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spans="1:36" ht="16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spans="1:36" ht="16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spans="1:36" ht="16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spans="1:36" ht="16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spans="1:36" ht="16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spans="1:36" ht="16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spans="1:36" ht="16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spans="1:36" ht="16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spans="1:36" ht="16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spans="1:36" ht="16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spans="1:36" ht="16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spans="1:36" ht="16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spans="1:36" ht="16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spans="1:36" ht="16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spans="1:36" ht="16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spans="1:36" ht="16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spans="1:36" ht="16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spans="1:36" ht="16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spans="1:36" ht="16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spans="1:36" ht="16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spans="1:36" ht="16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spans="1:36" ht="16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spans="1:36" ht="16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spans="1:36" ht="16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spans="1:36" ht="16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spans="1:36" ht="16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spans="1:36" ht="16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spans="1:36" ht="16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spans="1:36" ht="16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spans="1:36" ht="16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spans="1:36" ht="16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spans="1:36" ht="16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spans="1:36" ht="16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spans="1:36" ht="16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spans="1:36" ht="16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spans="1:36" ht="16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spans="1:36" ht="16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spans="1:36" ht="16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spans="1:36" ht="16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spans="1:36" ht="16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spans="1:36" ht="16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spans="1:36" ht="16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spans="1:36" ht="16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spans="1:36" ht="16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spans="1:36" ht="16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spans="1:36" ht="16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spans="1:36" ht="16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spans="1:36" ht="16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spans="1:36" ht="16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spans="1:36" ht="16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spans="1:36" ht="16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spans="1:36" ht="16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spans="1:36" ht="16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spans="1:36" ht="16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spans="1:36" ht="16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spans="1:36" ht="16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spans="1:36" ht="16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spans="1:36" ht="16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spans="1:36" ht="16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spans="1:36" ht="16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spans="1:36" ht="16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spans="1:36" ht="16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spans="1:36" ht="16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spans="1:36" ht="16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spans="1:36" ht="16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spans="1:36" ht="16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spans="1:36" ht="16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spans="1:36" ht="16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spans="1:36" ht="16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spans="1:36" ht="16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spans="1:36" ht="16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spans="1:36" ht="16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spans="1:36" ht="16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spans="1:36" ht="16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spans="1:36" ht="16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spans="1:36" ht="16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spans="1:36" ht="16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spans="1:36" ht="16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spans="1:36" ht="16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spans="1:36" ht="16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spans="1:36" ht="16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spans="1:36" ht="16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spans="1:36" ht="16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spans="1:36" ht="16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spans="1:36" ht="16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spans="1:36" ht="16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spans="1:36" ht="16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spans="1:36" ht="16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spans="1:36" ht="16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spans="1:36" ht="16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spans="1:36" ht="16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spans="1:36" ht="16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spans="1:36" ht="16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spans="1:36" ht="16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spans="1:36" ht="16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spans="1:36" ht="16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spans="1:36" ht="16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spans="1:36" ht="16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spans="1:36" ht="16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spans="1:36" ht="16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spans="1:36" ht="16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spans="1:36" ht="16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spans="1:36" ht="16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spans="1:36" ht="16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spans="1:36" ht="16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spans="1:36" ht="16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spans="1:36" ht="16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spans="1:36" ht="16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spans="1:36" ht="16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spans="1:36" ht="16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spans="1:36" ht="16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spans="1:36" ht="16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spans="1:36" ht="16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spans="1:36" ht="16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spans="1:36" ht="16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spans="1:36" ht="16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spans="1:36" ht="16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spans="1:36" ht="16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spans="1:36" ht="16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spans="1:36" ht="16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spans="1:36" ht="16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spans="1:36" ht="16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spans="1:36" ht="16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spans="1:36" ht="16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spans="1:36" ht="16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spans="1:36" ht="16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spans="1:36" ht="16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spans="1:36" ht="16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spans="1:36" ht="16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spans="1:36" ht="16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spans="1:36" ht="16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spans="1:36" ht="16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spans="1:36" ht="16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spans="1:36" ht="16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spans="1:36" ht="16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spans="1:36" ht="16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spans="1:36" ht="16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spans="1:36" ht="16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spans="1:36" ht="16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spans="1:36" ht="16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spans="1:36" ht="16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spans="1:36" ht="16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spans="1:36" ht="16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spans="1:36" ht="16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spans="1:36" ht="16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spans="1:36" ht="16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spans="1:36" ht="16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spans="1:36" ht="16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spans="1:36" ht="16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spans="1:36" ht="16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spans="1:36" ht="16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spans="1:36" ht="16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spans="1:36" ht="16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spans="1:36" ht="16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spans="1:36" ht="16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spans="1:36" ht="16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spans="1:36" ht="16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spans="1:36" ht="16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spans="1:36" ht="16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spans="1:36" ht="16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spans="1:36" ht="16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spans="1:36" ht="16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spans="1:36" ht="16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spans="1:36" ht="16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spans="1:36" ht="16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spans="1:36" ht="16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spans="1:36" ht="16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spans="1:36" ht="16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spans="1:36" ht="16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spans="1:36" ht="16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spans="1:36" ht="16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spans="1:36" ht="16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spans="1:36" ht="16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spans="1:36" ht="16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spans="1:36" ht="16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spans="1:36" ht="16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spans="1:36" ht="16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spans="1:36" ht="16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spans="1:36" ht="16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spans="1:36" ht="16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spans="1:36" ht="16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spans="1:36" ht="16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spans="1:36" ht="16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spans="1:36" ht="16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spans="1:36" ht="16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spans="1:36" ht="16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spans="1:36" ht="16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spans="1:36" ht="16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spans="1:36" ht="16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spans="1:36" ht="16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spans="1:36" ht="16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spans="1:36" ht="16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spans="1:36" ht="16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spans="1:36" ht="16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spans="1:36" ht="16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spans="1:36" ht="16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spans="1:36" ht="16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spans="1:36" ht="16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spans="1:36" ht="16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spans="1:36" ht="16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spans="1:36" ht="16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spans="1:36" ht="16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spans="1:36" ht="16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spans="1:36" ht="16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spans="1:36" ht="16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spans="1:36" ht="16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spans="1:36" ht="16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spans="1:36" ht="16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spans="1:36" ht="16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spans="1:36" ht="16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spans="1:36" ht="16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spans="1:36" ht="16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spans="1:36" ht="16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spans="1:36" ht="16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</sheetData>
  <mergeCells count="184">
    <mergeCell ref="M2:N2"/>
    <mergeCell ref="Q2:R2"/>
    <mergeCell ref="U2:W2"/>
    <mergeCell ref="C4:D4"/>
    <mergeCell ref="B5:D5"/>
    <mergeCell ref="B6:C6"/>
    <mergeCell ref="E6:F6"/>
    <mergeCell ref="H6:I6"/>
    <mergeCell ref="K6:L6"/>
    <mergeCell ref="B2:D2"/>
    <mergeCell ref="E2:F2"/>
    <mergeCell ref="I2:J2"/>
    <mergeCell ref="N6:O6"/>
    <mergeCell ref="Q6:R6"/>
    <mergeCell ref="T6:U6"/>
    <mergeCell ref="B7:D7"/>
    <mergeCell ref="B8:C8"/>
    <mergeCell ref="E8:F8"/>
    <mergeCell ref="H8:I8"/>
    <mergeCell ref="K8:L8"/>
    <mergeCell ref="N8:O8"/>
    <mergeCell ref="Q8:R8"/>
    <mergeCell ref="B11:D11"/>
    <mergeCell ref="B12:C12"/>
    <mergeCell ref="E12:F12"/>
    <mergeCell ref="H12:I12"/>
    <mergeCell ref="K12:L12"/>
    <mergeCell ref="N12:O12"/>
    <mergeCell ref="T8:U8"/>
    <mergeCell ref="B9:D9"/>
    <mergeCell ref="B10:C10"/>
    <mergeCell ref="E10:F10"/>
    <mergeCell ref="H10:I10"/>
    <mergeCell ref="K10:L10"/>
    <mergeCell ref="N10:O10"/>
    <mergeCell ref="Q10:R10"/>
    <mergeCell ref="T10:U10"/>
    <mergeCell ref="B15:D15"/>
    <mergeCell ref="B16:C16"/>
    <mergeCell ref="E16:F16"/>
    <mergeCell ref="H16:I16"/>
    <mergeCell ref="K16:L16"/>
    <mergeCell ref="N16:O16"/>
    <mergeCell ref="Q12:R12"/>
    <mergeCell ref="T12:U12"/>
    <mergeCell ref="B13:D13"/>
    <mergeCell ref="B14:C14"/>
    <mergeCell ref="E14:F14"/>
    <mergeCell ref="H14:I14"/>
    <mergeCell ref="K14:L14"/>
    <mergeCell ref="N14:O14"/>
    <mergeCell ref="Q14:R14"/>
    <mergeCell ref="T14:U14"/>
    <mergeCell ref="B19:D19"/>
    <mergeCell ref="B20:C20"/>
    <mergeCell ref="E20:F20"/>
    <mergeCell ref="H20:I20"/>
    <mergeCell ref="K20:L20"/>
    <mergeCell ref="N20:O20"/>
    <mergeCell ref="Q16:R16"/>
    <mergeCell ref="T16:U16"/>
    <mergeCell ref="B17:D17"/>
    <mergeCell ref="B18:C18"/>
    <mergeCell ref="E18:F18"/>
    <mergeCell ref="H18:I18"/>
    <mergeCell ref="K18:L18"/>
    <mergeCell ref="N18:O18"/>
    <mergeCell ref="Q18:R18"/>
    <mergeCell ref="T18:U18"/>
    <mergeCell ref="B23:D23"/>
    <mergeCell ref="B24:C24"/>
    <mergeCell ref="E24:F24"/>
    <mergeCell ref="H24:I24"/>
    <mergeCell ref="K24:L24"/>
    <mergeCell ref="N24:O24"/>
    <mergeCell ref="Q20:R20"/>
    <mergeCell ref="T20:U20"/>
    <mergeCell ref="B21:D21"/>
    <mergeCell ref="B22:C22"/>
    <mergeCell ref="E22:F22"/>
    <mergeCell ref="H22:I22"/>
    <mergeCell ref="K22:L22"/>
    <mergeCell ref="N22:O22"/>
    <mergeCell ref="Q22:R22"/>
    <mergeCell ref="T22:U22"/>
    <mergeCell ref="B27:D27"/>
    <mergeCell ref="B28:C28"/>
    <mergeCell ref="E28:F28"/>
    <mergeCell ref="H28:I28"/>
    <mergeCell ref="K28:L28"/>
    <mergeCell ref="N28:O28"/>
    <mergeCell ref="Q24:R24"/>
    <mergeCell ref="T24:U24"/>
    <mergeCell ref="B25:D25"/>
    <mergeCell ref="B26:C26"/>
    <mergeCell ref="E26:F26"/>
    <mergeCell ref="H26:I26"/>
    <mergeCell ref="K26:L26"/>
    <mergeCell ref="N26:O26"/>
    <mergeCell ref="Q26:R26"/>
    <mergeCell ref="T26:U26"/>
    <mergeCell ref="B31:D31"/>
    <mergeCell ref="B32:C32"/>
    <mergeCell ref="E32:F32"/>
    <mergeCell ref="H32:I32"/>
    <mergeCell ref="K32:L32"/>
    <mergeCell ref="N32:O32"/>
    <mergeCell ref="Q28:R28"/>
    <mergeCell ref="T28:U28"/>
    <mergeCell ref="B29:D29"/>
    <mergeCell ref="B30:C30"/>
    <mergeCell ref="E30:F30"/>
    <mergeCell ref="H30:I30"/>
    <mergeCell ref="K30:L30"/>
    <mergeCell ref="N30:O30"/>
    <mergeCell ref="Q30:R30"/>
    <mergeCell ref="T30:U30"/>
    <mergeCell ref="B35:D35"/>
    <mergeCell ref="B36:C36"/>
    <mergeCell ref="E36:F36"/>
    <mergeCell ref="H36:I36"/>
    <mergeCell ref="K36:L36"/>
    <mergeCell ref="N36:O36"/>
    <mergeCell ref="Q32:R32"/>
    <mergeCell ref="T32:U32"/>
    <mergeCell ref="B33:D33"/>
    <mergeCell ref="B34:C34"/>
    <mergeCell ref="E34:F34"/>
    <mergeCell ref="H34:I34"/>
    <mergeCell ref="K34:L34"/>
    <mergeCell ref="N34:O34"/>
    <mergeCell ref="Q34:R34"/>
    <mergeCell ref="T34:U34"/>
    <mergeCell ref="B39:D39"/>
    <mergeCell ref="B40:C40"/>
    <mergeCell ref="E40:F40"/>
    <mergeCell ref="H40:I40"/>
    <mergeCell ref="K40:L40"/>
    <mergeCell ref="N40:O40"/>
    <mergeCell ref="Q36:R36"/>
    <mergeCell ref="T36:U36"/>
    <mergeCell ref="B37:D37"/>
    <mergeCell ref="B38:C38"/>
    <mergeCell ref="E38:F38"/>
    <mergeCell ref="H38:I38"/>
    <mergeCell ref="K38:L38"/>
    <mergeCell ref="N38:O38"/>
    <mergeCell ref="Q38:R38"/>
    <mergeCell ref="T38:U38"/>
    <mergeCell ref="B43:D43"/>
    <mergeCell ref="B44:C44"/>
    <mergeCell ref="E44:F44"/>
    <mergeCell ref="H44:I44"/>
    <mergeCell ref="K44:L44"/>
    <mergeCell ref="N44:O44"/>
    <mergeCell ref="Q40:R40"/>
    <mergeCell ref="T40:U40"/>
    <mergeCell ref="B41:D41"/>
    <mergeCell ref="B42:C42"/>
    <mergeCell ref="E42:F42"/>
    <mergeCell ref="H42:I42"/>
    <mergeCell ref="K42:L42"/>
    <mergeCell ref="N42:O42"/>
    <mergeCell ref="Q42:R42"/>
    <mergeCell ref="T42:U42"/>
    <mergeCell ref="Q44:R44"/>
    <mergeCell ref="T44:U44"/>
    <mergeCell ref="B46:J46"/>
    <mergeCell ref="L46:U46"/>
    <mergeCell ref="B47:J53"/>
    <mergeCell ref="L47:S47"/>
    <mergeCell ref="T47:U47"/>
    <mergeCell ref="L48:S48"/>
    <mergeCell ref="T48:U48"/>
    <mergeCell ref="L49:S49"/>
    <mergeCell ref="L53:S53"/>
    <mergeCell ref="T53:U53"/>
    <mergeCell ref="T49:U49"/>
    <mergeCell ref="L50:S50"/>
    <mergeCell ref="T50:U50"/>
    <mergeCell ref="L51:S51"/>
    <mergeCell ref="T51:U51"/>
    <mergeCell ref="L52:S52"/>
    <mergeCell ref="T52:U52"/>
  </mergeCells>
  <conditionalFormatting sqref="E5:AI44">
    <cfRule type="cellIs" dxfId="43" priority="1" operator="equal">
      <formula>"H"</formula>
    </cfRule>
    <cfRule type="cellIs" dxfId="42" priority="6" operator="equal">
      <formula>"I"</formula>
    </cfRule>
    <cfRule type="cellIs" dxfId="41" priority="7" operator="equal">
      <formula>"T"</formula>
    </cfRule>
    <cfRule type="cellIs" dxfId="40" priority="8" operator="equal">
      <formula>"A"</formula>
    </cfRule>
  </conditionalFormatting>
  <conditionalFormatting sqref="G2 K2 O2">
    <cfRule type="cellIs" dxfId="39" priority="2" operator="equal">
      <formula>"I"</formula>
    </cfRule>
    <cfRule type="cellIs" dxfId="38" priority="9" operator="equal">
      <formula>"H"</formula>
    </cfRule>
    <cfRule type="cellIs" dxfId="37" priority="10" operator="equal">
      <formula>"T"</formula>
    </cfRule>
    <cfRule type="cellIs" dxfId="36" priority="11" operator="equal">
      <formula>"A"</formula>
    </cfRule>
  </conditionalFormatting>
  <conditionalFormatting sqref="S2">
    <cfRule type="cellIs" dxfId="35" priority="3" operator="equal">
      <formula>"H"</formula>
    </cfRule>
    <cfRule type="cellIs" dxfId="34" priority="4" operator="equal">
      <formula>"T"</formula>
    </cfRule>
    <cfRule type="cellIs" dxfId="33" priority="5" operator="equal">
      <formula>"A"</formula>
    </cfRule>
  </conditionalFormatting>
  <pageMargins left="0.4" right="0.4" top="0.4" bottom="0.4" header="0" footer="0"/>
  <pageSetup paperSize="3" scale="42"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2491E-2192-4A14-940A-E110771E7B64}">
  <sheetPr codeName="Sheet11">
    <tabColor rgb="FFF4EEA2"/>
    <outlinePr summaryBelow="0" summaryRight="0"/>
    <pageSetUpPr fitToPage="1"/>
  </sheetPr>
  <dimension ref="A1:AJ650"/>
  <sheetViews>
    <sheetView showGridLines="0" topLeftCell="F42" zoomScaleNormal="100" workbookViewId="0">
      <selection activeCell="L53" sqref="L46:U53"/>
    </sheetView>
  </sheetViews>
  <sheetFormatPr defaultColWidth="14.453125" defaultRowHeight="15.75" customHeight="1" x14ac:dyDescent="0.25"/>
  <cols>
    <col min="1" max="1" width="3.36328125" style="1" customWidth="1"/>
    <col min="2" max="2" width="19.36328125" style="1" customWidth="1"/>
    <col min="3" max="4" width="14.81640625" style="1" customWidth="1"/>
    <col min="5" max="35" width="7.81640625" style="1" customWidth="1"/>
    <col min="36" max="36" width="3.36328125" style="1" customWidth="1"/>
    <col min="37" max="16384" width="14.453125" style="1"/>
  </cols>
  <sheetData>
    <row r="1" spans="1:36" ht="50" customHeight="1" thickBot="1" x14ac:dyDescent="0.4">
      <c r="A1" s="2"/>
      <c r="B1" s="20" t="s">
        <v>72</v>
      </c>
      <c r="C1" s="2"/>
      <c r="D1" s="3"/>
      <c r="E1" s="4"/>
      <c r="F1" s="2"/>
      <c r="G1" s="3"/>
      <c r="H1" s="3"/>
      <c r="I1" s="2"/>
      <c r="J1" s="2"/>
      <c r="K1" s="3"/>
      <c r="L1" s="3"/>
      <c r="M1" s="2"/>
      <c r="N1" s="2"/>
      <c r="O1" s="3"/>
      <c r="P1" s="3"/>
      <c r="R1" s="2"/>
      <c r="S1" s="3"/>
      <c r="T1" s="3"/>
      <c r="V1" s="2"/>
      <c r="X1" s="2"/>
      <c r="Y1" s="2"/>
      <c r="Z1" s="2"/>
      <c r="AA1" s="2"/>
      <c r="AB1" s="2"/>
      <c r="AC1" s="2"/>
      <c r="AD1" s="2"/>
      <c r="AE1" s="2"/>
      <c r="AF1" s="2"/>
      <c r="AH1" s="2"/>
      <c r="AI1" s="2"/>
      <c r="AJ1" s="2"/>
    </row>
    <row r="2" spans="1:36" ht="44" customHeight="1" x14ac:dyDescent="0.35">
      <c r="A2" s="2"/>
      <c r="B2" s="76" t="s">
        <v>3</v>
      </c>
      <c r="C2" s="76"/>
      <c r="D2" s="77"/>
      <c r="E2" s="42" t="s">
        <v>4</v>
      </c>
      <c r="F2" s="43"/>
      <c r="G2" s="21" t="s">
        <v>8</v>
      </c>
      <c r="I2" s="44" t="s">
        <v>5</v>
      </c>
      <c r="J2" s="45"/>
      <c r="K2" s="11" t="s">
        <v>9</v>
      </c>
      <c r="M2" s="46" t="s">
        <v>7</v>
      </c>
      <c r="N2" s="47"/>
      <c r="O2" s="12" t="s">
        <v>10</v>
      </c>
      <c r="Q2" s="46" t="s">
        <v>6</v>
      </c>
      <c r="R2" s="47"/>
      <c r="S2" s="12" t="s">
        <v>0</v>
      </c>
      <c r="T2" s="23"/>
      <c r="U2" s="40"/>
      <c r="V2" s="40"/>
      <c r="W2" s="40"/>
      <c r="X2" s="22"/>
      <c r="AC2" s="2"/>
      <c r="AD2" s="2"/>
      <c r="AE2" s="2"/>
      <c r="AF2" s="2"/>
      <c r="AG2" s="2"/>
      <c r="AH2" s="2"/>
      <c r="AI2" s="2"/>
      <c r="AJ2" s="2"/>
    </row>
    <row r="3" spans="1:36" ht="16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ht="25" customHeight="1" x14ac:dyDescent="0.35">
      <c r="A4" s="2"/>
      <c r="B4" s="25" t="s">
        <v>16</v>
      </c>
      <c r="C4" s="73" t="s">
        <v>73</v>
      </c>
      <c r="D4" s="74"/>
      <c r="E4" s="24">
        <v>1</v>
      </c>
      <c r="F4" s="24">
        <v>2</v>
      </c>
      <c r="G4" s="24">
        <v>3</v>
      </c>
      <c r="H4" s="24">
        <v>4</v>
      </c>
      <c r="I4" s="24">
        <v>5</v>
      </c>
      <c r="J4" s="24">
        <v>6</v>
      </c>
      <c r="K4" s="24">
        <v>7</v>
      </c>
      <c r="L4" s="24">
        <v>8</v>
      </c>
      <c r="M4" s="24">
        <v>9</v>
      </c>
      <c r="N4" s="24">
        <v>10</v>
      </c>
      <c r="O4" s="24">
        <v>11</v>
      </c>
      <c r="P4" s="24">
        <v>12</v>
      </c>
      <c r="Q4" s="24">
        <v>13</v>
      </c>
      <c r="R4" s="24">
        <v>14</v>
      </c>
      <c r="S4" s="24">
        <v>15</v>
      </c>
      <c r="T4" s="24">
        <v>16</v>
      </c>
      <c r="U4" s="24">
        <v>17</v>
      </c>
      <c r="V4" s="24">
        <v>18</v>
      </c>
      <c r="W4" s="24">
        <v>19</v>
      </c>
      <c r="X4" s="24">
        <v>20</v>
      </c>
      <c r="Y4" s="24">
        <v>21</v>
      </c>
      <c r="Z4" s="24">
        <v>22</v>
      </c>
      <c r="AA4" s="24">
        <v>23</v>
      </c>
      <c r="AB4" s="24">
        <v>24</v>
      </c>
      <c r="AC4" s="24">
        <v>25</v>
      </c>
      <c r="AD4" s="24">
        <v>26</v>
      </c>
      <c r="AE4" s="24">
        <v>27</v>
      </c>
      <c r="AF4" s="24">
        <v>28</v>
      </c>
      <c r="AG4" s="24">
        <v>29</v>
      </c>
      <c r="AH4" s="24">
        <v>30</v>
      </c>
      <c r="AI4" s="2"/>
    </row>
    <row r="5" spans="1:36" ht="22" customHeight="1" x14ac:dyDescent="0.35">
      <c r="A5" s="2"/>
      <c r="B5" s="75" t="s">
        <v>22</v>
      </c>
      <c r="C5" s="75"/>
      <c r="D5" s="75"/>
      <c r="E5" s="16" t="s">
        <v>10</v>
      </c>
      <c r="F5" s="16" t="s">
        <v>0</v>
      </c>
      <c r="G5" s="17" t="s">
        <v>8</v>
      </c>
      <c r="H5" s="17" t="s">
        <v>8</v>
      </c>
      <c r="I5" s="17" t="s">
        <v>8</v>
      </c>
      <c r="J5" s="17" t="s">
        <v>8</v>
      </c>
      <c r="K5" s="17" t="s">
        <v>8</v>
      </c>
      <c r="L5" s="19" t="s">
        <v>8</v>
      </c>
      <c r="M5" s="19" t="s">
        <v>9</v>
      </c>
      <c r="N5" s="18" t="s">
        <v>9</v>
      </c>
      <c r="O5" s="18" t="s">
        <v>8</v>
      </c>
      <c r="P5" s="18" t="s">
        <v>9</v>
      </c>
      <c r="Q5" s="18" t="s">
        <v>8</v>
      </c>
      <c r="R5" s="18" t="s">
        <v>8</v>
      </c>
      <c r="S5" s="18" t="s">
        <v>8</v>
      </c>
      <c r="T5" s="18" t="s">
        <v>8</v>
      </c>
      <c r="U5" s="18" t="s">
        <v>9</v>
      </c>
      <c r="V5" s="18" t="s">
        <v>8</v>
      </c>
      <c r="W5" s="18" t="s">
        <v>8</v>
      </c>
      <c r="X5" s="18" t="s">
        <v>8</v>
      </c>
      <c r="Y5" s="18" t="s">
        <v>9</v>
      </c>
      <c r="Z5" s="18" t="s">
        <v>0</v>
      </c>
      <c r="AA5" s="18" t="s">
        <v>0</v>
      </c>
      <c r="AB5" s="18" t="s">
        <v>8</v>
      </c>
      <c r="AC5" s="18" t="s">
        <v>8</v>
      </c>
      <c r="AD5" s="18" t="s">
        <v>8</v>
      </c>
      <c r="AE5" s="18" t="s">
        <v>8</v>
      </c>
      <c r="AF5" s="18" t="s">
        <v>8</v>
      </c>
      <c r="AG5" s="18" t="s">
        <v>8</v>
      </c>
      <c r="AH5" s="18" t="s">
        <v>0</v>
      </c>
      <c r="AI5" s="2"/>
    </row>
    <row r="6" spans="1:36" s="8" customFormat="1" ht="22" customHeight="1" thickBot="1" x14ac:dyDescent="0.3">
      <c r="A6" s="6"/>
      <c r="B6" s="65" t="s">
        <v>18</v>
      </c>
      <c r="C6" s="66"/>
      <c r="D6" s="7" t="s">
        <v>17</v>
      </c>
      <c r="E6" s="67" t="s">
        <v>11</v>
      </c>
      <c r="F6" s="68"/>
      <c r="G6" s="13">
        <f>COUNTIF(E5:AH5,"H")</f>
        <v>20</v>
      </c>
      <c r="H6" s="67" t="s">
        <v>12</v>
      </c>
      <c r="I6" s="68"/>
      <c r="J6" s="13">
        <f>COUNTIF(E5:AH5,"T")</f>
        <v>5</v>
      </c>
      <c r="K6" s="67" t="s">
        <v>13</v>
      </c>
      <c r="L6" s="68"/>
      <c r="M6" s="13">
        <f>COUNTIF(E5:AH5,"A") + COUNTIF(E5:AH5,"I")</f>
        <v>5</v>
      </c>
      <c r="N6" s="67" t="s">
        <v>14</v>
      </c>
      <c r="O6" s="68"/>
      <c r="P6" s="13">
        <f>IF((G6+J6+M6)=0,0,(G6+J6)/(G6+J6+M6)*100)</f>
        <v>83.333333333333343</v>
      </c>
      <c r="Q6" s="67"/>
      <c r="R6" s="68"/>
      <c r="S6" s="13"/>
      <c r="T6" s="67"/>
      <c r="U6" s="68"/>
      <c r="V6" s="14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6"/>
    </row>
    <row r="7" spans="1:36" ht="22" customHeight="1" x14ac:dyDescent="0.25">
      <c r="A7" s="5"/>
      <c r="B7" s="72" t="s">
        <v>23</v>
      </c>
      <c r="C7" s="72"/>
      <c r="D7" s="72"/>
      <c r="E7" s="16" t="s">
        <v>8</v>
      </c>
      <c r="F7" s="16" t="s">
        <v>0</v>
      </c>
      <c r="G7" s="17" t="s">
        <v>8</v>
      </c>
      <c r="H7" s="17" t="s">
        <v>8</v>
      </c>
      <c r="I7" s="17" t="s">
        <v>8</v>
      </c>
      <c r="J7" s="17" t="s">
        <v>8</v>
      </c>
      <c r="K7" s="17" t="s">
        <v>8</v>
      </c>
      <c r="L7" s="19" t="s">
        <v>8</v>
      </c>
      <c r="M7" s="19" t="s">
        <v>9</v>
      </c>
      <c r="N7" s="18" t="s">
        <v>9</v>
      </c>
      <c r="O7" s="18" t="s">
        <v>8</v>
      </c>
      <c r="P7" s="18" t="s">
        <v>9</v>
      </c>
      <c r="Q7" s="18" t="s">
        <v>8</v>
      </c>
      <c r="R7" s="18" t="s">
        <v>8</v>
      </c>
      <c r="S7" s="18" t="s">
        <v>8</v>
      </c>
      <c r="T7" s="18" t="s">
        <v>8</v>
      </c>
      <c r="U7" s="18" t="s">
        <v>9</v>
      </c>
      <c r="V7" s="18" t="s">
        <v>8</v>
      </c>
      <c r="W7" s="18" t="s">
        <v>8</v>
      </c>
      <c r="X7" s="18" t="s">
        <v>8</v>
      </c>
      <c r="Y7" s="18" t="s">
        <v>9</v>
      </c>
      <c r="Z7" s="18" t="s">
        <v>0</v>
      </c>
      <c r="AA7" s="18" t="s">
        <v>0</v>
      </c>
      <c r="AB7" s="18" t="s">
        <v>8</v>
      </c>
      <c r="AC7" s="18" t="s">
        <v>8</v>
      </c>
      <c r="AD7" s="18" t="s">
        <v>8</v>
      </c>
      <c r="AE7" s="18" t="s">
        <v>8</v>
      </c>
      <c r="AF7" s="18" t="s">
        <v>8</v>
      </c>
      <c r="AG7" s="18" t="s">
        <v>8</v>
      </c>
      <c r="AH7" s="18" t="s">
        <v>0</v>
      </c>
      <c r="AI7" s="5"/>
    </row>
    <row r="8" spans="1:36" s="8" customFormat="1" ht="22" customHeight="1" thickBot="1" x14ac:dyDescent="0.3">
      <c r="A8" s="6"/>
      <c r="B8" s="65" t="s">
        <v>18</v>
      </c>
      <c r="C8" s="66"/>
      <c r="D8" s="7" t="s">
        <v>17</v>
      </c>
      <c r="E8" s="67" t="s">
        <v>11</v>
      </c>
      <c r="F8" s="68"/>
      <c r="G8" s="13">
        <f>COUNTIF(E7:AH7,"H")</f>
        <v>21</v>
      </c>
      <c r="H8" s="67" t="s">
        <v>12</v>
      </c>
      <c r="I8" s="68"/>
      <c r="J8" s="13">
        <f>COUNTIF(E7:AH7,"T")</f>
        <v>5</v>
      </c>
      <c r="K8" s="67" t="s">
        <v>13</v>
      </c>
      <c r="L8" s="68"/>
      <c r="M8" s="13">
        <f>COUNTIF(E7:AH7,"A") + COUNTIF(E7:AH7,"I")</f>
        <v>4</v>
      </c>
      <c r="N8" s="67" t="s">
        <v>14</v>
      </c>
      <c r="O8" s="68"/>
      <c r="P8" s="13">
        <f>IF((G8+J8+M8)=0,0,(G8+J8)/(G8+J8+M8)*100)</f>
        <v>86.666666666666671</v>
      </c>
      <c r="Q8" s="67"/>
      <c r="R8" s="68"/>
      <c r="S8" s="13"/>
      <c r="T8" s="67"/>
      <c r="U8" s="68"/>
      <c r="V8" s="14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6"/>
    </row>
    <row r="9" spans="1:36" ht="22" customHeight="1" x14ac:dyDescent="0.35">
      <c r="A9" s="2"/>
      <c r="B9" s="72" t="s">
        <v>24</v>
      </c>
      <c r="C9" s="72"/>
      <c r="D9" s="72"/>
      <c r="E9" s="16" t="s">
        <v>8</v>
      </c>
      <c r="F9" s="16" t="s">
        <v>8</v>
      </c>
      <c r="G9" s="17" t="s">
        <v>8</v>
      </c>
      <c r="H9" s="17" t="s">
        <v>8</v>
      </c>
      <c r="I9" s="17" t="s">
        <v>0</v>
      </c>
      <c r="J9" s="17" t="s">
        <v>8</v>
      </c>
      <c r="K9" s="17" t="s">
        <v>9</v>
      </c>
      <c r="L9" s="19" t="s">
        <v>8</v>
      </c>
      <c r="M9" s="19" t="s">
        <v>9</v>
      </c>
      <c r="N9" s="18" t="s">
        <v>8</v>
      </c>
      <c r="O9" s="18" t="s">
        <v>8</v>
      </c>
      <c r="P9" s="18" t="s">
        <v>9</v>
      </c>
      <c r="Q9" s="18" t="s">
        <v>8</v>
      </c>
      <c r="R9" s="18" t="s">
        <v>8</v>
      </c>
      <c r="S9" s="18" t="s">
        <v>9</v>
      </c>
      <c r="T9" s="18" t="s">
        <v>9</v>
      </c>
      <c r="U9" s="18" t="s">
        <v>9</v>
      </c>
      <c r="V9" s="18" t="s">
        <v>0</v>
      </c>
      <c r="W9" s="18" t="s">
        <v>8</v>
      </c>
      <c r="X9" s="18" t="s">
        <v>8</v>
      </c>
      <c r="Y9" s="18" t="s">
        <v>9</v>
      </c>
      <c r="Z9" s="18" t="s">
        <v>0</v>
      </c>
      <c r="AA9" s="18" t="s">
        <v>0</v>
      </c>
      <c r="AB9" s="18" t="s">
        <v>8</v>
      </c>
      <c r="AC9" s="18" t="s">
        <v>8</v>
      </c>
      <c r="AD9" s="18" t="s">
        <v>8</v>
      </c>
      <c r="AE9" s="18" t="s">
        <v>8</v>
      </c>
      <c r="AF9" s="18" t="s">
        <v>8</v>
      </c>
      <c r="AG9" s="18" t="s">
        <v>8</v>
      </c>
      <c r="AH9" s="18" t="s">
        <v>0</v>
      </c>
      <c r="AI9" s="2"/>
    </row>
    <row r="10" spans="1:36" s="8" customFormat="1" ht="22" customHeight="1" thickBot="1" x14ac:dyDescent="0.3">
      <c r="A10" s="6"/>
      <c r="B10" s="65" t="s">
        <v>18</v>
      </c>
      <c r="C10" s="66"/>
      <c r="D10" s="7" t="s">
        <v>17</v>
      </c>
      <c r="E10" s="67" t="s">
        <v>11</v>
      </c>
      <c r="F10" s="68"/>
      <c r="G10" s="13">
        <f>COUNTIF(E9:AH9,"H")</f>
        <v>18</v>
      </c>
      <c r="H10" s="67" t="s">
        <v>12</v>
      </c>
      <c r="I10" s="68"/>
      <c r="J10" s="13">
        <f>COUNTIF(E9:AH9,"T")</f>
        <v>7</v>
      </c>
      <c r="K10" s="67" t="s">
        <v>13</v>
      </c>
      <c r="L10" s="68"/>
      <c r="M10" s="13">
        <f>COUNTIF(E9:AH9,"A") + COUNTIF(E9:AH9,"I")</f>
        <v>5</v>
      </c>
      <c r="N10" s="67" t="s">
        <v>14</v>
      </c>
      <c r="O10" s="68"/>
      <c r="P10" s="13">
        <f>IF((G10+J10+M10)=0,0,(G10+J10)/(G10+J10+M10)*100)</f>
        <v>83.333333333333343</v>
      </c>
      <c r="Q10" s="67"/>
      <c r="R10" s="68"/>
      <c r="S10" s="13"/>
      <c r="T10" s="67"/>
      <c r="U10" s="68"/>
      <c r="V10" s="14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6"/>
    </row>
    <row r="11" spans="1:36" s="10" customFormat="1" ht="22" customHeight="1" x14ac:dyDescent="0.25">
      <c r="A11" s="9"/>
      <c r="B11" s="72" t="s">
        <v>25</v>
      </c>
      <c r="C11" s="72"/>
      <c r="D11" s="72"/>
      <c r="E11" s="16" t="s">
        <v>8</v>
      </c>
      <c r="F11" s="16" t="s">
        <v>0</v>
      </c>
      <c r="G11" s="17" t="s">
        <v>8</v>
      </c>
      <c r="H11" s="17" t="s">
        <v>8</v>
      </c>
      <c r="I11" s="17" t="s">
        <v>8</v>
      </c>
      <c r="J11" s="17" t="s">
        <v>8</v>
      </c>
      <c r="K11" s="17" t="s">
        <v>8</v>
      </c>
      <c r="L11" s="19" t="s">
        <v>8</v>
      </c>
      <c r="M11" s="19" t="s">
        <v>8</v>
      </c>
      <c r="N11" s="18" t="s">
        <v>8</v>
      </c>
      <c r="O11" s="18" t="s">
        <v>8</v>
      </c>
      <c r="P11" s="18" t="s">
        <v>8</v>
      </c>
      <c r="Q11" s="18" t="s">
        <v>8</v>
      </c>
      <c r="R11" s="18" t="s">
        <v>8</v>
      </c>
      <c r="S11" s="18" t="s">
        <v>8</v>
      </c>
      <c r="T11" s="18" t="s">
        <v>8</v>
      </c>
      <c r="U11" s="18" t="s">
        <v>9</v>
      </c>
      <c r="V11" s="18" t="s">
        <v>8</v>
      </c>
      <c r="W11" s="18" t="s">
        <v>8</v>
      </c>
      <c r="X11" s="18" t="s">
        <v>8</v>
      </c>
      <c r="Y11" s="18" t="s">
        <v>8</v>
      </c>
      <c r="Z11" s="18" t="s">
        <v>8</v>
      </c>
      <c r="AA11" s="18" t="s">
        <v>8</v>
      </c>
      <c r="AB11" s="18" t="s">
        <v>8</v>
      </c>
      <c r="AC11" s="18" t="s">
        <v>8</v>
      </c>
      <c r="AD11" s="18" t="s">
        <v>8</v>
      </c>
      <c r="AE11" s="18" t="s">
        <v>8</v>
      </c>
      <c r="AF11" s="18" t="s">
        <v>8</v>
      </c>
      <c r="AG11" s="18" t="s">
        <v>8</v>
      </c>
      <c r="AH11" s="18" t="s">
        <v>0</v>
      </c>
      <c r="AI11" s="9"/>
    </row>
    <row r="12" spans="1:36" s="8" customFormat="1" ht="22" customHeight="1" thickBot="1" x14ac:dyDescent="0.3">
      <c r="A12" s="6"/>
      <c r="B12" s="65" t="s">
        <v>18</v>
      </c>
      <c r="C12" s="66"/>
      <c r="D12" s="7" t="s">
        <v>17</v>
      </c>
      <c r="E12" s="67" t="s">
        <v>11</v>
      </c>
      <c r="F12" s="68"/>
      <c r="G12" s="13">
        <f>COUNTIF(E11:AH11,"H")</f>
        <v>27</v>
      </c>
      <c r="H12" s="67" t="s">
        <v>12</v>
      </c>
      <c r="I12" s="68"/>
      <c r="J12" s="13">
        <f>COUNTIF(E11:AH11,"T")</f>
        <v>1</v>
      </c>
      <c r="K12" s="67" t="s">
        <v>13</v>
      </c>
      <c r="L12" s="68"/>
      <c r="M12" s="13">
        <f>COUNTIF(E11:AH11,"A") + COUNTIF(E11:AH11,"I")</f>
        <v>2</v>
      </c>
      <c r="N12" s="67" t="s">
        <v>14</v>
      </c>
      <c r="O12" s="68"/>
      <c r="P12" s="13">
        <f>IF((G12+J12+M12)=0,0,(G12+J12)/(G12+J12+M12)*100)</f>
        <v>93.333333333333329</v>
      </c>
      <c r="Q12" s="67"/>
      <c r="R12" s="68"/>
      <c r="S12" s="13"/>
      <c r="T12" s="67"/>
      <c r="U12" s="68"/>
      <c r="V12" s="14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6"/>
    </row>
    <row r="13" spans="1:36" s="10" customFormat="1" ht="22" customHeight="1" x14ac:dyDescent="0.25">
      <c r="A13" s="9"/>
      <c r="B13" s="72" t="s">
        <v>26</v>
      </c>
      <c r="C13" s="72"/>
      <c r="D13" s="72"/>
      <c r="E13" s="16" t="s">
        <v>8</v>
      </c>
      <c r="F13" s="16" t="s">
        <v>8</v>
      </c>
      <c r="G13" s="17" t="s">
        <v>8</v>
      </c>
      <c r="H13" s="17" t="s">
        <v>8</v>
      </c>
      <c r="I13" s="17" t="s">
        <v>8</v>
      </c>
      <c r="J13" s="17" t="s">
        <v>0</v>
      </c>
      <c r="K13" s="17" t="s">
        <v>8</v>
      </c>
      <c r="L13" s="19" t="s">
        <v>8</v>
      </c>
      <c r="M13" s="19" t="s">
        <v>8</v>
      </c>
      <c r="N13" s="18" t="s">
        <v>8</v>
      </c>
      <c r="O13" s="18" t="s">
        <v>8</v>
      </c>
      <c r="P13" s="18" t="s">
        <v>9</v>
      </c>
      <c r="Q13" s="18" t="s">
        <v>8</v>
      </c>
      <c r="R13" s="18" t="s">
        <v>8</v>
      </c>
      <c r="S13" s="18" t="s">
        <v>8</v>
      </c>
      <c r="T13" s="18" t="s">
        <v>0</v>
      </c>
      <c r="U13" s="18" t="s">
        <v>9</v>
      </c>
      <c r="V13" s="18" t="s">
        <v>8</v>
      </c>
      <c r="W13" s="18" t="s">
        <v>8</v>
      </c>
      <c r="X13" s="18" t="s">
        <v>0</v>
      </c>
      <c r="Y13" s="18" t="s">
        <v>9</v>
      </c>
      <c r="Z13" s="18" t="s">
        <v>8</v>
      </c>
      <c r="AA13" s="18" t="s">
        <v>8</v>
      </c>
      <c r="AB13" s="18" t="s">
        <v>8</v>
      </c>
      <c r="AC13" s="18" t="s">
        <v>8</v>
      </c>
      <c r="AD13" s="18" t="s">
        <v>8</v>
      </c>
      <c r="AE13" s="18" t="s">
        <v>8</v>
      </c>
      <c r="AF13" s="18" t="s">
        <v>8</v>
      </c>
      <c r="AG13" s="18" t="s">
        <v>8</v>
      </c>
      <c r="AH13" s="18" t="s">
        <v>0</v>
      </c>
      <c r="AI13" s="9"/>
    </row>
    <row r="14" spans="1:36" s="8" customFormat="1" ht="22" customHeight="1" thickBot="1" x14ac:dyDescent="0.3">
      <c r="A14" s="6"/>
      <c r="B14" s="65" t="s">
        <v>18</v>
      </c>
      <c r="C14" s="66"/>
      <c r="D14" s="7" t="s">
        <v>17</v>
      </c>
      <c r="E14" s="67" t="s">
        <v>11</v>
      </c>
      <c r="F14" s="68"/>
      <c r="G14" s="13">
        <f>COUNTIF(E13:AH13,"H")</f>
        <v>23</v>
      </c>
      <c r="H14" s="67" t="s">
        <v>12</v>
      </c>
      <c r="I14" s="68"/>
      <c r="J14" s="13">
        <f>COUNTIF(E13:AH13,"T")</f>
        <v>3</v>
      </c>
      <c r="K14" s="67" t="s">
        <v>13</v>
      </c>
      <c r="L14" s="68"/>
      <c r="M14" s="13">
        <f>COUNTIF(E13:AH13,"A") + COUNTIF(E13:AH13,"I")</f>
        <v>4</v>
      </c>
      <c r="N14" s="67" t="s">
        <v>14</v>
      </c>
      <c r="O14" s="68"/>
      <c r="P14" s="13">
        <f>IF((G14+J14+M14)=0,0,(G14+J14)/(G14+J14+M14)*100)</f>
        <v>86.666666666666671</v>
      </c>
      <c r="Q14" s="67"/>
      <c r="R14" s="68"/>
      <c r="S14" s="13"/>
      <c r="T14" s="67"/>
      <c r="U14" s="68"/>
      <c r="V14" s="14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6"/>
    </row>
    <row r="15" spans="1:36" s="10" customFormat="1" ht="22" customHeight="1" x14ac:dyDescent="0.25">
      <c r="A15" s="9"/>
      <c r="B15" s="72" t="s">
        <v>27</v>
      </c>
      <c r="C15" s="72"/>
      <c r="D15" s="72"/>
      <c r="E15" s="16" t="s">
        <v>8</v>
      </c>
      <c r="F15" s="16" t="s">
        <v>0</v>
      </c>
      <c r="G15" s="17" t="s">
        <v>8</v>
      </c>
      <c r="H15" s="17" t="s">
        <v>8</v>
      </c>
      <c r="I15" s="17" t="s">
        <v>8</v>
      </c>
      <c r="J15" s="17" t="s">
        <v>8</v>
      </c>
      <c r="K15" s="17" t="s">
        <v>8</v>
      </c>
      <c r="L15" s="19" t="s">
        <v>8</v>
      </c>
      <c r="M15" s="19" t="s">
        <v>9</v>
      </c>
      <c r="N15" s="18" t="s">
        <v>9</v>
      </c>
      <c r="O15" s="18" t="s">
        <v>8</v>
      </c>
      <c r="P15" s="18" t="s">
        <v>9</v>
      </c>
      <c r="Q15" s="18" t="s">
        <v>8</v>
      </c>
      <c r="R15" s="18" t="s">
        <v>8</v>
      </c>
      <c r="S15" s="18" t="s">
        <v>8</v>
      </c>
      <c r="T15" s="18" t="s">
        <v>8</v>
      </c>
      <c r="U15" s="18" t="s">
        <v>9</v>
      </c>
      <c r="V15" s="18" t="s">
        <v>8</v>
      </c>
      <c r="W15" s="18" t="s">
        <v>8</v>
      </c>
      <c r="X15" s="18" t="s">
        <v>8</v>
      </c>
      <c r="Y15" s="18" t="s">
        <v>9</v>
      </c>
      <c r="Z15" s="18" t="s">
        <v>0</v>
      </c>
      <c r="AA15" s="18" t="s">
        <v>0</v>
      </c>
      <c r="AB15" s="18" t="s">
        <v>8</v>
      </c>
      <c r="AC15" s="18" t="s">
        <v>8</v>
      </c>
      <c r="AD15" s="18" t="s">
        <v>8</v>
      </c>
      <c r="AE15" s="18" t="s">
        <v>8</v>
      </c>
      <c r="AF15" s="18" t="s">
        <v>8</v>
      </c>
      <c r="AG15" s="18" t="s">
        <v>8</v>
      </c>
      <c r="AH15" s="18" t="s">
        <v>0</v>
      </c>
      <c r="AI15" s="9"/>
    </row>
    <row r="16" spans="1:36" s="8" customFormat="1" ht="22" customHeight="1" thickBot="1" x14ac:dyDescent="0.3">
      <c r="A16" s="6"/>
      <c r="B16" s="65" t="s">
        <v>18</v>
      </c>
      <c r="C16" s="66"/>
      <c r="D16" s="7" t="s">
        <v>17</v>
      </c>
      <c r="E16" s="67" t="s">
        <v>11</v>
      </c>
      <c r="F16" s="68"/>
      <c r="G16" s="13">
        <f>COUNTIF(E15:AH15,"H")</f>
        <v>21</v>
      </c>
      <c r="H16" s="67" t="s">
        <v>12</v>
      </c>
      <c r="I16" s="68"/>
      <c r="J16" s="13">
        <f>COUNTIF(E15:AH15,"T")</f>
        <v>5</v>
      </c>
      <c r="K16" s="67" t="s">
        <v>13</v>
      </c>
      <c r="L16" s="68"/>
      <c r="M16" s="13">
        <f>COUNTIF(E15:AH15,"A") + COUNTIF(E15:AH15,"I")</f>
        <v>4</v>
      </c>
      <c r="N16" s="67" t="s">
        <v>14</v>
      </c>
      <c r="O16" s="68"/>
      <c r="P16" s="13">
        <f>IF((G16+J16+M16)=0,0,(G16+J16)/(G16+J16+M16)*100)</f>
        <v>86.666666666666671</v>
      </c>
      <c r="Q16" s="67"/>
      <c r="R16" s="68"/>
      <c r="S16" s="13"/>
      <c r="T16" s="67"/>
      <c r="U16" s="68"/>
      <c r="V16" s="14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6"/>
    </row>
    <row r="17" spans="1:35" s="10" customFormat="1" ht="22" customHeight="1" x14ac:dyDescent="0.25">
      <c r="A17" s="9"/>
      <c r="B17" s="72" t="s">
        <v>28</v>
      </c>
      <c r="C17" s="72"/>
      <c r="D17" s="72"/>
      <c r="E17" s="16" t="s">
        <v>8</v>
      </c>
      <c r="F17" s="16" t="s">
        <v>0</v>
      </c>
      <c r="G17" s="17" t="s">
        <v>8</v>
      </c>
      <c r="H17" s="17" t="s">
        <v>8</v>
      </c>
      <c r="I17" s="17" t="s">
        <v>8</v>
      </c>
      <c r="J17" s="17" t="s">
        <v>8</v>
      </c>
      <c r="K17" s="17" t="s">
        <v>8</v>
      </c>
      <c r="L17" s="19" t="s">
        <v>8</v>
      </c>
      <c r="M17" s="19" t="s">
        <v>9</v>
      </c>
      <c r="N17" s="18" t="s">
        <v>9</v>
      </c>
      <c r="O17" s="18" t="s">
        <v>8</v>
      </c>
      <c r="P17" s="18" t="s">
        <v>9</v>
      </c>
      <c r="Q17" s="18" t="s">
        <v>8</v>
      </c>
      <c r="R17" s="18" t="s">
        <v>8</v>
      </c>
      <c r="S17" s="18" t="s">
        <v>8</v>
      </c>
      <c r="T17" s="18" t="s">
        <v>8</v>
      </c>
      <c r="U17" s="18" t="s">
        <v>9</v>
      </c>
      <c r="V17" s="18" t="s">
        <v>8</v>
      </c>
      <c r="W17" s="18" t="s">
        <v>8</v>
      </c>
      <c r="X17" s="18" t="s">
        <v>8</v>
      </c>
      <c r="Y17" s="18" t="s">
        <v>9</v>
      </c>
      <c r="Z17" s="18" t="s">
        <v>0</v>
      </c>
      <c r="AA17" s="18" t="s">
        <v>0</v>
      </c>
      <c r="AB17" s="18" t="s">
        <v>8</v>
      </c>
      <c r="AC17" s="18" t="s">
        <v>8</v>
      </c>
      <c r="AD17" s="18" t="s">
        <v>8</v>
      </c>
      <c r="AE17" s="18" t="s">
        <v>8</v>
      </c>
      <c r="AF17" s="18" t="s">
        <v>8</v>
      </c>
      <c r="AG17" s="18" t="s">
        <v>8</v>
      </c>
      <c r="AH17" s="18" t="s">
        <v>0</v>
      </c>
      <c r="AI17" s="9"/>
    </row>
    <row r="18" spans="1:35" s="8" customFormat="1" ht="22" customHeight="1" thickBot="1" x14ac:dyDescent="0.3">
      <c r="A18" s="6"/>
      <c r="B18" s="65" t="s">
        <v>18</v>
      </c>
      <c r="C18" s="66"/>
      <c r="D18" s="7" t="s">
        <v>17</v>
      </c>
      <c r="E18" s="67" t="s">
        <v>11</v>
      </c>
      <c r="F18" s="68"/>
      <c r="G18" s="13">
        <f>COUNTIF(E17:AH17,"H")</f>
        <v>21</v>
      </c>
      <c r="H18" s="67" t="s">
        <v>12</v>
      </c>
      <c r="I18" s="68"/>
      <c r="J18" s="13">
        <f>COUNTIF(E17:AH17,"T")</f>
        <v>5</v>
      </c>
      <c r="K18" s="67" t="s">
        <v>13</v>
      </c>
      <c r="L18" s="68"/>
      <c r="M18" s="13">
        <f>COUNTIF(E17:AH17,"A") + COUNTIF(E17:AH17,"I")</f>
        <v>4</v>
      </c>
      <c r="N18" s="67" t="s">
        <v>14</v>
      </c>
      <c r="O18" s="68"/>
      <c r="P18" s="13">
        <f>IF((G18+J18+M18)=0,0,(G18+J18)/(G18+J18+M18)*100)</f>
        <v>86.666666666666671</v>
      </c>
      <c r="Q18" s="67"/>
      <c r="R18" s="68"/>
      <c r="S18" s="13"/>
      <c r="T18" s="67"/>
      <c r="U18" s="68"/>
      <c r="V18" s="14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6"/>
    </row>
    <row r="19" spans="1:35" s="10" customFormat="1" ht="22" customHeight="1" x14ac:dyDescent="0.25">
      <c r="A19" s="9"/>
      <c r="B19" s="72" t="s">
        <v>29</v>
      </c>
      <c r="C19" s="72"/>
      <c r="D19" s="72"/>
      <c r="E19" s="16" t="s">
        <v>8</v>
      </c>
      <c r="F19" s="16" t="s">
        <v>0</v>
      </c>
      <c r="G19" s="17" t="s">
        <v>8</v>
      </c>
      <c r="H19" s="17" t="s">
        <v>8</v>
      </c>
      <c r="I19" s="17" t="s">
        <v>8</v>
      </c>
      <c r="J19" s="17" t="s">
        <v>8</v>
      </c>
      <c r="K19" s="17" t="s">
        <v>8</v>
      </c>
      <c r="L19" s="19" t="s">
        <v>8</v>
      </c>
      <c r="M19" s="19" t="s">
        <v>9</v>
      </c>
      <c r="N19" s="18" t="s">
        <v>9</v>
      </c>
      <c r="O19" s="18" t="s">
        <v>8</v>
      </c>
      <c r="P19" s="18" t="s">
        <v>9</v>
      </c>
      <c r="Q19" s="18" t="s">
        <v>8</v>
      </c>
      <c r="R19" s="18" t="s">
        <v>8</v>
      </c>
      <c r="S19" s="18" t="s">
        <v>8</v>
      </c>
      <c r="T19" s="18" t="s">
        <v>8</v>
      </c>
      <c r="U19" s="18" t="s">
        <v>9</v>
      </c>
      <c r="V19" s="18" t="s">
        <v>8</v>
      </c>
      <c r="W19" s="18" t="s">
        <v>8</v>
      </c>
      <c r="X19" s="18" t="s">
        <v>8</v>
      </c>
      <c r="Y19" s="18" t="s">
        <v>9</v>
      </c>
      <c r="Z19" s="18" t="s">
        <v>0</v>
      </c>
      <c r="AA19" s="18" t="s">
        <v>0</v>
      </c>
      <c r="AB19" s="18" t="s">
        <v>8</v>
      </c>
      <c r="AC19" s="18" t="s">
        <v>8</v>
      </c>
      <c r="AD19" s="18" t="s">
        <v>8</v>
      </c>
      <c r="AE19" s="18" t="s">
        <v>8</v>
      </c>
      <c r="AF19" s="18" t="s">
        <v>8</v>
      </c>
      <c r="AG19" s="18" t="s">
        <v>8</v>
      </c>
      <c r="AH19" s="18" t="s">
        <v>0</v>
      </c>
      <c r="AI19" s="9"/>
    </row>
    <row r="20" spans="1:35" s="8" customFormat="1" ht="22" customHeight="1" thickBot="1" x14ac:dyDescent="0.3">
      <c r="A20" s="6"/>
      <c r="B20" s="65" t="s">
        <v>18</v>
      </c>
      <c r="C20" s="66"/>
      <c r="D20" s="7" t="s">
        <v>17</v>
      </c>
      <c r="E20" s="67" t="s">
        <v>11</v>
      </c>
      <c r="F20" s="68"/>
      <c r="G20" s="13">
        <f>COUNTIF(E19:AH19,"H")</f>
        <v>21</v>
      </c>
      <c r="H20" s="67" t="s">
        <v>12</v>
      </c>
      <c r="I20" s="68"/>
      <c r="J20" s="13">
        <f>COUNTIF(E19:AH19,"T")</f>
        <v>5</v>
      </c>
      <c r="K20" s="67" t="s">
        <v>13</v>
      </c>
      <c r="L20" s="68"/>
      <c r="M20" s="13">
        <f>COUNTIF(E19:AH19,"A") + COUNTIF(E19:AH19,"I")</f>
        <v>4</v>
      </c>
      <c r="N20" s="67" t="s">
        <v>14</v>
      </c>
      <c r="O20" s="68"/>
      <c r="P20" s="13">
        <f>IF((G20+J20+M20)=0,0,(G20+J20)/(G20+J20+M20)*100)</f>
        <v>86.666666666666671</v>
      </c>
      <c r="Q20" s="67"/>
      <c r="R20" s="68"/>
      <c r="S20" s="13"/>
      <c r="T20" s="67"/>
      <c r="U20" s="68"/>
      <c r="V20" s="14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6"/>
    </row>
    <row r="21" spans="1:35" ht="22" customHeight="1" x14ac:dyDescent="0.35">
      <c r="A21" s="2"/>
      <c r="B21" s="72" t="s">
        <v>30</v>
      </c>
      <c r="C21" s="72"/>
      <c r="D21" s="72"/>
      <c r="E21" s="16" t="s">
        <v>8</v>
      </c>
      <c r="F21" s="16" t="s">
        <v>0</v>
      </c>
      <c r="G21" s="17" t="s">
        <v>8</v>
      </c>
      <c r="H21" s="17" t="s">
        <v>8</v>
      </c>
      <c r="I21" s="17" t="s">
        <v>8</v>
      </c>
      <c r="J21" s="17" t="s">
        <v>8</v>
      </c>
      <c r="K21" s="17" t="s">
        <v>8</v>
      </c>
      <c r="L21" s="19" t="s">
        <v>8</v>
      </c>
      <c r="M21" s="19" t="s">
        <v>9</v>
      </c>
      <c r="N21" s="18" t="s">
        <v>9</v>
      </c>
      <c r="O21" s="18" t="s">
        <v>8</v>
      </c>
      <c r="P21" s="18" t="s">
        <v>9</v>
      </c>
      <c r="Q21" s="18" t="s">
        <v>8</v>
      </c>
      <c r="R21" s="18" t="s">
        <v>8</v>
      </c>
      <c r="S21" s="18" t="s">
        <v>8</v>
      </c>
      <c r="T21" s="18" t="s">
        <v>8</v>
      </c>
      <c r="U21" s="18" t="s">
        <v>9</v>
      </c>
      <c r="V21" s="18" t="s">
        <v>8</v>
      </c>
      <c r="W21" s="18" t="s">
        <v>8</v>
      </c>
      <c r="X21" s="18" t="s">
        <v>8</v>
      </c>
      <c r="Y21" s="18" t="s">
        <v>9</v>
      </c>
      <c r="Z21" s="18" t="s">
        <v>0</v>
      </c>
      <c r="AA21" s="18" t="s">
        <v>0</v>
      </c>
      <c r="AB21" s="18" t="s">
        <v>8</v>
      </c>
      <c r="AC21" s="18" t="s">
        <v>8</v>
      </c>
      <c r="AD21" s="18" t="s">
        <v>8</v>
      </c>
      <c r="AE21" s="18" t="s">
        <v>8</v>
      </c>
      <c r="AF21" s="18" t="s">
        <v>8</v>
      </c>
      <c r="AG21" s="18" t="s">
        <v>8</v>
      </c>
      <c r="AH21" s="18" t="s">
        <v>0</v>
      </c>
      <c r="AI21" s="2"/>
    </row>
    <row r="22" spans="1:35" s="8" customFormat="1" ht="22" customHeight="1" thickBot="1" x14ac:dyDescent="0.3">
      <c r="A22" s="6"/>
      <c r="B22" s="65" t="s">
        <v>18</v>
      </c>
      <c r="C22" s="66"/>
      <c r="D22" s="7" t="s">
        <v>17</v>
      </c>
      <c r="E22" s="67" t="s">
        <v>11</v>
      </c>
      <c r="F22" s="68"/>
      <c r="G22" s="13">
        <f>COUNTIF(E21:AH21,"H")</f>
        <v>21</v>
      </c>
      <c r="H22" s="67" t="s">
        <v>12</v>
      </c>
      <c r="I22" s="68"/>
      <c r="J22" s="13">
        <f>COUNTIF(E21:AH21,"T")</f>
        <v>5</v>
      </c>
      <c r="K22" s="67" t="s">
        <v>13</v>
      </c>
      <c r="L22" s="68"/>
      <c r="M22" s="13">
        <f>COUNTIF(E21:AH21,"A") + COUNTIF(E21:AH21,"I")</f>
        <v>4</v>
      </c>
      <c r="N22" s="67" t="s">
        <v>14</v>
      </c>
      <c r="O22" s="68"/>
      <c r="P22" s="13">
        <f>IF((G22+J22+M22)=0,0,(G22+J22)/(G22+J22+M22)*100)</f>
        <v>86.666666666666671</v>
      </c>
      <c r="Q22" s="67"/>
      <c r="R22" s="68"/>
      <c r="S22" s="13"/>
      <c r="T22" s="67"/>
      <c r="U22" s="68"/>
      <c r="V22" s="14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6"/>
    </row>
    <row r="23" spans="1:35" ht="22" customHeight="1" x14ac:dyDescent="0.35">
      <c r="A23" s="2"/>
      <c r="B23" s="72" t="s">
        <v>31</v>
      </c>
      <c r="C23" s="72"/>
      <c r="D23" s="72"/>
      <c r="E23" s="16" t="s">
        <v>8</v>
      </c>
      <c r="F23" s="16" t="s">
        <v>0</v>
      </c>
      <c r="G23" s="17" t="s">
        <v>8</v>
      </c>
      <c r="H23" s="17" t="s">
        <v>8</v>
      </c>
      <c r="I23" s="17" t="s">
        <v>8</v>
      </c>
      <c r="J23" s="17" t="s">
        <v>8</v>
      </c>
      <c r="K23" s="17" t="s">
        <v>8</v>
      </c>
      <c r="L23" s="19" t="s">
        <v>8</v>
      </c>
      <c r="M23" s="19" t="s">
        <v>9</v>
      </c>
      <c r="N23" s="18" t="s">
        <v>9</v>
      </c>
      <c r="O23" s="18" t="s">
        <v>8</v>
      </c>
      <c r="P23" s="18" t="s">
        <v>9</v>
      </c>
      <c r="Q23" s="18" t="s">
        <v>8</v>
      </c>
      <c r="R23" s="18" t="s">
        <v>8</v>
      </c>
      <c r="S23" s="18" t="s">
        <v>8</v>
      </c>
      <c r="T23" s="18" t="s">
        <v>8</v>
      </c>
      <c r="U23" s="18" t="s">
        <v>9</v>
      </c>
      <c r="V23" s="18" t="s">
        <v>8</v>
      </c>
      <c r="W23" s="18" t="s">
        <v>8</v>
      </c>
      <c r="X23" s="18" t="s">
        <v>8</v>
      </c>
      <c r="Y23" s="18" t="s">
        <v>9</v>
      </c>
      <c r="Z23" s="18" t="s">
        <v>0</v>
      </c>
      <c r="AA23" s="18" t="s">
        <v>0</v>
      </c>
      <c r="AB23" s="18" t="s">
        <v>8</v>
      </c>
      <c r="AC23" s="18" t="s">
        <v>8</v>
      </c>
      <c r="AD23" s="18" t="s">
        <v>8</v>
      </c>
      <c r="AE23" s="18" t="s">
        <v>8</v>
      </c>
      <c r="AF23" s="18" t="s">
        <v>8</v>
      </c>
      <c r="AG23" s="18" t="s">
        <v>8</v>
      </c>
      <c r="AH23" s="18" t="s">
        <v>0</v>
      </c>
      <c r="AI23" s="2"/>
    </row>
    <row r="24" spans="1:35" s="8" customFormat="1" ht="22" customHeight="1" thickBot="1" x14ac:dyDescent="0.3">
      <c r="A24" s="6"/>
      <c r="B24" s="65" t="s">
        <v>18</v>
      </c>
      <c r="C24" s="66"/>
      <c r="D24" s="7" t="s">
        <v>17</v>
      </c>
      <c r="E24" s="67" t="s">
        <v>11</v>
      </c>
      <c r="F24" s="68"/>
      <c r="G24" s="13">
        <f>COUNTIF(E23:AH23,"H")</f>
        <v>21</v>
      </c>
      <c r="H24" s="67" t="s">
        <v>12</v>
      </c>
      <c r="I24" s="68"/>
      <c r="J24" s="13">
        <f>COUNTIF(E23:AH23,"T")</f>
        <v>5</v>
      </c>
      <c r="K24" s="67" t="s">
        <v>13</v>
      </c>
      <c r="L24" s="68"/>
      <c r="M24" s="13">
        <f>COUNTIF(E23:AH23,"A") + COUNTIF(E23:AH23,"I")</f>
        <v>4</v>
      </c>
      <c r="N24" s="67" t="s">
        <v>14</v>
      </c>
      <c r="O24" s="68"/>
      <c r="P24" s="13">
        <f>IF((G24+J24+M24)=0,0,(G24+J24)/(G24+J24+M24)*100)</f>
        <v>86.666666666666671</v>
      </c>
      <c r="Q24" s="67"/>
      <c r="R24" s="68"/>
      <c r="S24" s="13"/>
      <c r="T24" s="67"/>
      <c r="U24" s="68"/>
      <c r="V24" s="14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6"/>
    </row>
    <row r="25" spans="1:35" s="10" customFormat="1" ht="22" customHeight="1" x14ac:dyDescent="0.25">
      <c r="A25" s="9"/>
      <c r="B25" s="72" t="s">
        <v>32</v>
      </c>
      <c r="C25" s="72"/>
      <c r="D25" s="72"/>
      <c r="E25" s="16" t="s">
        <v>8</v>
      </c>
      <c r="F25" s="16" t="s">
        <v>0</v>
      </c>
      <c r="G25" s="17" t="s">
        <v>8</v>
      </c>
      <c r="H25" s="17" t="s">
        <v>8</v>
      </c>
      <c r="I25" s="17" t="s">
        <v>8</v>
      </c>
      <c r="J25" s="17" t="s">
        <v>8</v>
      </c>
      <c r="K25" s="17" t="s">
        <v>8</v>
      </c>
      <c r="L25" s="19" t="s">
        <v>8</v>
      </c>
      <c r="M25" s="19" t="s">
        <v>9</v>
      </c>
      <c r="N25" s="18" t="s">
        <v>9</v>
      </c>
      <c r="O25" s="18" t="s">
        <v>8</v>
      </c>
      <c r="P25" s="18" t="s">
        <v>9</v>
      </c>
      <c r="Q25" s="18" t="s">
        <v>8</v>
      </c>
      <c r="R25" s="18" t="s">
        <v>8</v>
      </c>
      <c r="S25" s="18" t="s">
        <v>8</v>
      </c>
      <c r="T25" s="18" t="s">
        <v>8</v>
      </c>
      <c r="U25" s="18" t="s">
        <v>9</v>
      </c>
      <c r="V25" s="18" t="s">
        <v>8</v>
      </c>
      <c r="W25" s="18" t="s">
        <v>8</v>
      </c>
      <c r="X25" s="18" t="s">
        <v>8</v>
      </c>
      <c r="Y25" s="18" t="s">
        <v>9</v>
      </c>
      <c r="Z25" s="18" t="s">
        <v>0</v>
      </c>
      <c r="AA25" s="18" t="s">
        <v>0</v>
      </c>
      <c r="AB25" s="18" t="s">
        <v>8</v>
      </c>
      <c r="AC25" s="18" t="s">
        <v>8</v>
      </c>
      <c r="AD25" s="18" t="s">
        <v>8</v>
      </c>
      <c r="AE25" s="18" t="s">
        <v>8</v>
      </c>
      <c r="AF25" s="18" t="s">
        <v>8</v>
      </c>
      <c r="AG25" s="18" t="s">
        <v>8</v>
      </c>
      <c r="AH25" s="18" t="s">
        <v>0</v>
      </c>
      <c r="AI25" s="9"/>
    </row>
    <row r="26" spans="1:35" s="8" customFormat="1" ht="22" customHeight="1" thickBot="1" x14ac:dyDescent="0.3">
      <c r="A26" s="6"/>
      <c r="B26" s="65" t="s">
        <v>18</v>
      </c>
      <c r="C26" s="66"/>
      <c r="D26" s="7" t="s">
        <v>17</v>
      </c>
      <c r="E26" s="67" t="s">
        <v>11</v>
      </c>
      <c r="F26" s="68"/>
      <c r="G26" s="13">
        <f>COUNTIF(E25:AH25,"H")</f>
        <v>21</v>
      </c>
      <c r="H26" s="67" t="s">
        <v>12</v>
      </c>
      <c r="I26" s="68"/>
      <c r="J26" s="13">
        <f>COUNTIF(E25:AH25,"T")</f>
        <v>5</v>
      </c>
      <c r="K26" s="67" t="s">
        <v>13</v>
      </c>
      <c r="L26" s="68"/>
      <c r="M26" s="13">
        <f>COUNTIF(E25:AH25,"A") + COUNTIF(E25:AH25,"I")</f>
        <v>4</v>
      </c>
      <c r="N26" s="67" t="s">
        <v>14</v>
      </c>
      <c r="O26" s="68"/>
      <c r="P26" s="13">
        <f>IF((G26+J26+M26)=0,0,(G26+J26)/(G26+J26+M26)*100)</f>
        <v>86.666666666666671</v>
      </c>
      <c r="Q26" s="67"/>
      <c r="R26" s="68"/>
      <c r="S26" s="13"/>
      <c r="T26" s="67"/>
      <c r="U26" s="68"/>
      <c r="V26" s="14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6"/>
    </row>
    <row r="27" spans="1:35" ht="22" customHeight="1" x14ac:dyDescent="0.35">
      <c r="A27" s="2"/>
      <c r="B27" s="72" t="s">
        <v>33</v>
      </c>
      <c r="C27" s="72"/>
      <c r="D27" s="72"/>
      <c r="E27" s="16" t="s">
        <v>8</v>
      </c>
      <c r="F27" s="16" t="s">
        <v>0</v>
      </c>
      <c r="G27" s="17" t="s">
        <v>8</v>
      </c>
      <c r="H27" s="17" t="s">
        <v>8</v>
      </c>
      <c r="I27" s="17" t="s">
        <v>8</v>
      </c>
      <c r="J27" s="17" t="s">
        <v>8</v>
      </c>
      <c r="K27" s="17" t="s">
        <v>8</v>
      </c>
      <c r="L27" s="19" t="s">
        <v>8</v>
      </c>
      <c r="M27" s="19" t="s">
        <v>9</v>
      </c>
      <c r="N27" s="18" t="s">
        <v>9</v>
      </c>
      <c r="O27" s="18" t="s">
        <v>8</v>
      </c>
      <c r="P27" s="18" t="s">
        <v>9</v>
      </c>
      <c r="Q27" s="18" t="s">
        <v>8</v>
      </c>
      <c r="R27" s="18" t="s">
        <v>8</v>
      </c>
      <c r="S27" s="18" t="s">
        <v>8</v>
      </c>
      <c r="T27" s="18" t="s">
        <v>8</v>
      </c>
      <c r="U27" s="18" t="s">
        <v>9</v>
      </c>
      <c r="V27" s="18" t="s">
        <v>8</v>
      </c>
      <c r="W27" s="18" t="s">
        <v>8</v>
      </c>
      <c r="X27" s="18" t="s">
        <v>8</v>
      </c>
      <c r="Y27" s="18" t="s">
        <v>9</v>
      </c>
      <c r="Z27" s="18" t="s">
        <v>0</v>
      </c>
      <c r="AA27" s="18" t="s">
        <v>0</v>
      </c>
      <c r="AB27" s="18" t="s">
        <v>8</v>
      </c>
      <c r="AC27" s="18" t="s">
        <v>8</v>
      </c>
      <c r="AD27" s="18" t="s">
        <v>8</v>
      </c>
      <c r="AE27" s="18" t="s">
        <v>8</v>
      </c>
      <c r="AF27" s="18" t="s">
        <v>8</v>
      </c>
      <c r="AG27" s="18" t="s">
        <v>8</v>
      </c>
      <c r="AH27" s="18" t="s">
        <v>0</v>
      </c>
      <c r="AI27" s="2"/>
    </row>
    <row r="28" spans="1:35" s="8" customFormat="1" ht="22" customHeight="1" thickBot="1" x14ac:dyDescent="0.3">
      <c r="A28" s="6"/>
      <c r="B28" s="65" t="s">
        <v>18</v>
      </c>
      <c r="C28" s="66"/>
      <c r="D28" s="7" t="s">
        <v>17</v>
      </c>
      <c r="E28" s="67" t="s">
        <v>11</v>
      </c>
      <c r="F28" s="68"/>
      <c r="G28" s="13">
        <f>COUNTIF(E27:AH27,"H")</f>
        <v>21</v>
      </c>
      <c r="H28" s="67" t="s">
        <v>12</v>
      </c>
      <c r="I28" s="68"/>
      <c r="J28" s="13">
        <f>COUNTIF(E27:AH27,"T")</f>
        <v>5</v>
      </c>
      <c r="K28" s="67" t="s">
        <v>13</v>
      </c>
      <c r="L28" s="68"/>
      <c r="M28" s="13">
        <f>COUNTIF(E27:AH27,"A") + COUNTIF(E27:AH27,"I")</f>
        <v>4</v>
      </c>
      <c r="N28" s="67" t="s">
        <v>14</v>
      </c>
      <c r="O28" s="68"/>
      <c r="P28" s="13">
        <f>IF((G28+J28+M28)=0,0,(G28+J28)/(G28+J28+M28)*100)</f>
        <v>86.666666666666671</v>
      </c>
      <c r="Q28" s="67"/>
      <c r="R28" s="68"/>
      <c r="S28" s="13"/>
      <c r="T28" s="67"/>
      <c r="U28" s="68"/>
      <c r="V28" s="14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6"/>
    </row>
    <row r="29" spans="1:35" s="10" customFormat="1" ht="22" customHeight="1" x14ac:dyDescent="0.25">
      <c r="A29" s="9"/>
      <c r="B29" s="72" t="s">
        <v>34</v>
      </c>
      <c r="C29" s="72"/>
      <c r="D29" s="72"/>
      <c r="E29" s="16" t="s">
        <v>8</v>
      </c>
      <c r="F29" s="16" t="s">
        <v>0</v>
      </c>
      <c r="G29" s="17" t="s">
        <v>8</v>
      </c>
      <c r="H29" s="17" t="s">
        <v>8</v>
      </c>
      <c r="I29" s="17" t="s">
        <v>8</v>
      </c>
      <c r="J29" s="17" t="s">
        <v>8</v>
      </c>
      <c r="K29" s="17" t="s">
        <v>8</v>
      </c>
      <c r="L29" s="19" t="s">
        <v>8</v>
      </c>
      <c r="M29" s="19" t="s">
        <v>9</v>
      </c>
      <c r="N29" s="18" t="s">
        <v>9</v>
      </c>
      <c r="O29" s="18" t="s">
        <v>8</v>
      </c>
      <c r="P29" s="18" t="s">
        <v>9</v>
      </c>
      <c r="Q29" s="18" t="s">
        <v>8</v>
      </c>
      <c r="R29" s="18" t="s">
        <v>8</v>
      </c>
      <c r="S29" s="18" t="s">
        <v>8</v>
      </c>
      <c r="T29" s="18" t="s">
        <v>8</v>
      </c>
      <c r="U29" s="18" t="s">
        <v>9</v>
      </c>
      <c r="V29" s="18" t="s">
        <v>8</v>
      </c>
      <c r="W29" s="18" t="s">
        <v>8</v>
      </c>
      <c r="X29" s="18" t="s">
        <v>8</v>
      </c>
      <c r="Y29" s="18" t="s">
        <v>9</v>
      </c>
      <c r="Z29" s="18" t="s">
        <v>0</v>
      </c>
      <c r="AA29" s="18" t="s">
        <v>0</v>
      </c>
      <c r="AB29" s="18" t="s">
        <v>8</v>
      </c>
      <c r="AC29" s="18" t="s">
        <v>8</v>
      </c>
      <c r="AD29" s="18" t="s">
        <v>8</v>
      </c>
      <c r="AE29" s="18" t="s">
        <v>8</v>
      </c>
      <c r="AF29" s="18" t="s">
        <v>8</v>
      </c>
      <c r="AG29" s="18" t="s">
        <v>8</v>
      </c>
      <c r="AH29" s="18" t="s">
        <v>0</v>
      </c>
      <c r="AI29" s="9"/>
    </row>
    <row r="30" spans="1:35" s="8" customFormat="1" ht="22" customHeight="1" thickBot="1" x14ac:dyDescent="0.3">
      <c r="A30" s="6"/>
      <c r="B30" s="65" t="s">
        <v>18</v>
      </c>
      <c r="C30" s="66"/>
      <c r="D30" s="7" t="s">
        <v>17</v>
      </c>
      <c r="E30" s="67" t="s">
        <v>11</v>
      </c>
      <c r="F30" s="68"/>
      <c r="G30" s="13">
        <f>COUNTIF(E29:AH29,"H")</f>
        <v>21</v>
      </c>
      <c r="H30" s="67" t="s">
        <v>12</v>
      </c>
      <c r="I30" s="68"/>
      <c r="J30" s="13">
        <f>COUNTIF(E29:AH29,"T")</f>
        <v>5</v>
      </c>
      <c r="K30" s="67" t="s">
        <v>13</v>
      </c>
      <c r="L30" s="68"/>
      <c r="M30" s="13">
        <f>COUNTIF(E29:AH29,"A") + COUNTIF(E29:AH29,"I")</f>
        <v>4</v>
      </c>
      <c r="N30" s="67" t="s">
        <v>14</v>
      </c>
      <c r="O30" s="68"/>
      <c r="P30" s="13">
        <f>IF((G30+J30+M30)=0,0,(G30+J30)/(G30+J30+M30)*100)</f>
        <v>86.666666666666671</v>
      </c>
      <c r="Q30" s="67"/>
      <c r="R30" s="68"/>
      <c r="S30" s="13"/>
      <c r="T30" s="67"/>
      <c r="U30" s="68"/>
      <c r="V30" s="14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6"/>
    </row>
    <row r="31" spans="1:35" ht="22" customHeight="1" x14ac:dyDescent="0.35">
      <c r="A31" s="2"/>
      <c r="B31" s="72" t="s">
        <v>35</v>
      </c>
      <c r="C31" s="72"/>
      <c r="D31" s="72"/>
      <c r="E31" s="16" t="s">
        <v>8</v>
      </c>
      <c r="F31" s="16" t="s">
        <v>0</v>
      </c>
      <c r="G31" s="17" t="s">
        <v>8</v>
      </c>
      <c r="H31" s="17" t="s">
        <v>8</v>
      </c>
      <c r="I31" s="17" t="s">
        <v>8</v>
      </c>
      <c r="J31" s="17" t="s">
        <v>8</v>
      </c>
      <c r="K31" s="17" t="s">
        <v>8</v>
      </c>
      <c r="L31" s="19" t="s">
        <v>8</v>
      </c>
      <c r="M31" s="19" t="s">
        <v>9</v>
      </c>
      <c r="N31" s="18" t="s">
        <v>9</v>
      </c>
      <c r="O31" s="18" t="s">
        <v>8</v>
      </c>
      <c r="P31" s="18" t="s">
        <v>9</v>
      </c>
      <c r="Q31" s="18" t="s">
        <v>8</v>
      </c>
      <c r="R31" s="18" t="s">
        <v>8</v>
      </c>
      <c r="S31" s="18" t="s">
        <v>8</v>
      </c>
      <c r="T31" s="18" t="s">
        <v>8</v>
      </c>
      <c r="U31" s="18" t="s">
        <v>9</v>
      </c>
      <c r="V31" s="18" t="s">
        <v>8</v>
      </c>
      <c r="W31" s="18" t="s">
        <v>8</v>
      </c>
      <c r="X31" s="18" t="s">
        <v>8</v>
      </c>
      <c r="Y31" s="18" t="s">
        <v>9</v>
      </c>
      <c r="Z31" s="18" t="s">
        <v>0</v>
      </c>
      <c r="AA31" s="18" t="s">
        <v>0</v>
      </c>
      <c r="AB31" s="18" t="s">
        <v>8</v>
      </c>
      <c r="AC31" s="18" t="s">
        <v>8</v>
      </c>
      <c r="AD31" s="18" t="s">
        <v>8</v>
      </c>
      <c r="AE31" s="18" t="s">
        <v>8</v>
      </c>
      <c r="AF31" s="18" t="s">
        <v>8</v>
      </c>
      <c r="AG31" s="18" t="s">
        <v>8</v>
      </c>
      <c r="AH31" s="18" t="s">
        <v>0</v>
      </c>
      <c r="AI31" s="2"/>
    </row>
    <row r="32" spans="1:35" s="8" customFormat="1" ht="22" customHeight="1" thickBot="1" x14ac:dyDescent="0.3">
      <c r="A32" s="6"/>
      <c r="B32" s="65" t="s">
        <v>18</v>
      </c>
      <c r="C32" s="66"/>
      <c r="D32" s="7" t="s">
        <v>17</v>
      </c>
      <c r="E32" s="67" t="s">
        <v>11</v>
      </c>
      <c r="F32" s="68"/>
      <c r="G32" s="13">
        <f>COUNTIF(E31:AH31,"H")</f>
        <v>21</v>
      </c>
      <c r="H32" s="67" t="s">
        <v>12</v>
      </c>
      <c r="I32" s="68"/>
      <c r="J32" s="13">
        <f>COUNTIF(E31:AH31,"T")</f>
        <v>5</v>
      </c>
      <c r="K32" s="67" t="s">
        <v>13</v>
      </c>
      <c r="L32" s="68"/>
      <c r="M32" s="13">
        <f>COUNTIF(E31:AH31,"A") + COUNTIF(E31:AH31,"I")</f>
        <v>4</v>
      </c>
      <c r="N32" s="67" t="s">
        <v>14</v>
      </c>
      <c r="O32" s="68"/>
      <c r="P32" s="13">
        <f>IF((G32+J32+M32)=0,0,(G32+J32)/(G32+J32+M32)*100)</f>
        <v>86.666666666666671</v>
      </c>
      <c r="Q32" s="67"/>
      <c r="R32" s="68"/>
      <c r="S32" s="13"/>
      <c r="T32" s="67"/>
      <c r="U32" s="68"/>
      <c r="V32" s="14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6"/>
    </row>
    <row r="33" spans="1:36" ht="22" customHeight="1" x14ac:dyDescent="0.35">
      <c r="A33" s="2"/>
      <c r="B33" s="72" t="s">
        <v>36</v>
      </c>
      <c r="C33" s="72"/>
      <c r="D33" s="72"/>
      <c r="E33" s="16" t="s">
        <v>8</v>
      </c>
      <c r="F33" s="16" t="s">
        <v>0</v>
      </c>
      <c r="G33" s="17" t="s">
        <v>8</v>
      </c>
      <c r="H33" s="17" t="s">
        <v>8</v>
      </c>
      <c r="I33" s="17" t="s">
        <v>8</v>
      </c>
      <c r="J33" s="17" t="s">
        <v>8</v>
      </c>
      <c r="K33" s="17" t="s">
        <v>8</v>
      </c>
      <c r="L33" s="19" t="s">
        <v>8</v>
      </c>
      <c r="M33" s="19" t="s">
        <v>9</v>
      </c>
      <c r="N33" s="18" t="s">
        <v>9</v>
      </c>
      <c r="O33" s="18" t="s">
        <v>8</v>
      </c>
      <c r="P33" s="18" t="s">
        <v>9</v>
      </c>
      <c r="Q33" s="18" t="s">
        <v>8</v>
      </c>
      <c r="R33" s="18" t="s">
        <v>8</v>
      </c>
      <c r="S33" s="18" t="s">
        <v>8</v>
      </c>
      <c r="T33" s="18" t="s">
        <v>8</v>
      </c>
      <c r="U33" s="18" t="s">
        <v>9</v>
      </c>
      <c r="V33" s="18" t="s">
        <v>8</v>
      </c>
      <c r="W33" s="18" t="s">
        <v>8</v>
      </c>
      <c r="X33" s="18" t="s">
        <v>8</v>
      </c>
      <c r="Y33" s="18" t="s">
        <v>9</v>
      </c>
      <c r="Z33" s="18" t="s">
        <v>0</v>
      </c>
      <c r="AA33" s="18" t="s">
        <v>0</v>
      </c>
      <c r="AB33" s="18" t="s">
        <v>8</v>
      </c>
      <c r="AC33" s="18" t="s">
        <v>8</v>
      </c>
      <c r="AD33" s="18" t="s">
        <v>8</v>
      </c>
      <c r="AE33" s="18" t="s">
        <v>8</v>
      </c>
      <c r="AF33" s="18" t="s">
        <v>8</v>
      </c>
      <c r="AG33" s="18" t="s">
        <v>8</v>
      </c>
      <c r="AH33" s="18" t="s">
        <v>0</v>
      </c>
      <c r="AI33" s="2"/>
    </row>
    <row r="34" spans="1:36" s="8" customFormat="1" ht="22" customHeight="1" thickBot="1" x14ac:dyDescent="0.3">
      <c r="A34" s="6"/>
      <c r="B34" s="65" t="s">
        <v>18</v>
      </c>
      <c r="C34" s="66"/>
      <c r="D34" s="7" t="s">
        <v>17</v>
      </c>
      <c r="E34" s="67" t="s">
        <v>11</v>
      </c>
      <c r="F34" s="68"/>
      <c r="G34" s="13">
        <f>COUNTIF(E33:AH33,"H")</f>
        <v>21</v>
      </c>
      <c r="H34" s="67" t="s">
        <v>12</v>
      </c>
      <c r="I34" s="68"/>
      <c r="J34" s="13">
        <f>COUNTIF(E33:AH33,"T")</f>
        <v>5</v>
      </c>
      <c r="K34" s="67" t="s">
        <v>13</v>
      </c>
      <c r="L34" s="68"/>
      <c r="M34" s="13">
        <f>COUNTIF(E33:AH33,"A") + COUNTIF(E33:AH33,"I")</f>
        <v>4</v>
      </c>
      <c r="N34" s="67" t="s">
        <v>14</v>
      </c>
      <c r="O34" s="68"/>
      <c r="P34" s="13">
        <f>IF((G34+J34+M34)=0,0,(G34+J34)/(G34+J34+M34)*100)</f>
        <v>86.666666666666671</v>
      </c>
      <c r="Q34" s="67"/>
      <c r="R34" s="68"/>
      <c r="S34" s="13"/>
      <c r="T34" s="67"/>
      <c r="U34" s="68"/>
      <c r="V34" s="14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6"/>
    </row>
    <row r="35" spans="1:36" s="10" customFormat="1" ht="22" customHeight="1" x14ac:dyDescent="0.25">
      <c r="A35" s="9"/>
      <c r="B35" s="69" t="s">
        <v>37</v>
      </c>
      <c r="C35" s="70"/>
      <c r="D35" s="71"/>
      <c r="E35" s="16" t="s">
        <v>8</v>
      </c>
      <c r="F35" s="16" t="s">
        <v>0</v>
      </c>
      <c r="G35" s="17" t="s">
        <v>8</v>
      </c>
      <c r="H35" s="17" t="s">
        <v>8</v>
      </c>
      <c r="I35" s="17" t="s">
        <v>8</v>
      </c>
      <c r="J35" s="17" t="s">
        <v>8</v>
      </c>
      <c r="K35" s="17" t="s">
        <v>8</v>
      </c>
      <c r="L35" s="19" t="s">
        <v>8</v>
      </c>
      <c r="M35" s="19" t="s">
        <v>9</v>
      </c>
      <c r="N35" s="18" t="s">
        <v>9</v>
      </c>
      <c r="O35" s="18" t="s">
        <v>8</v>
      </c>
      <c r="P35" s="18" t="s">
        <v>9</v>
      </c>
      <c r="Q35" s="18" t="s">
        <v>8</v>
      </c>
      <c r="R35" s="18" t="s">
        <v>8</v>
      </c>
      <c r="S35" s="18" t="s">
        <v>8</v>
      </c>
      <c r="T35" s="18" t="s">
        <v>8</v>
      </c>
      <c r="U35" s="18" t="s">
        <v>9</v>
      </c>
      <c r="V35" s="18" t="s">
        <v>8</v>
      </c>
      <c r="W35" s="18" t="s">
        <v>8</v>
      </c>
      <c r="X35" s="18" t="s">
        <v>8</v>
      </c>
      <c r="Y35" s="18" t="s">
        <v>9</v>
      </c>
      <c r="Z35" s="18" t="s">
        <v>0</v>
      </c>
      <c r="AA35" s="18" t="s">
        <v>0</v>
      </c>
      <c r="AB35" s="18" t="s">
        <v>8</v>
      </c>
      <c r="AC35" s="18" t="s">
        <v>8</v>
      </c>
      <c r="AD35" s="18" t="s">
        <v>8</v>
      </c>
      <c r="AE35" s="18" t="s">
        <v>8</v>
      </c>
      <c r="AF35" s="18" t="s">
        <v>8</v>
      </c>
      <c r="AG35" s="18" t="s">
        <v>8</v>
      </c>
      <c r="AH35" s="18" t="s">
        <v>0</v>
      </c>
      <c r="AI35" s="9"/>
    </row>
    <row r="36" spans="1:36" s="8" customFormat="1" ht="22" customHeight="1" thickBot="1" x14ac:dyDescent="0.3">
      <c r="A36" s="6"/>
      <c r="B36" s="65" t="s">
        <v>18</v>
      </c>
      <c r="C36" s="66"/>
      <c r="D36" s="7" t="s">
        <v>17</v>
      </c>
      <c r="E36" s="67" t="s">
        <v>11</v>
      </c>
      <c r="F36" s="68"/>
      <c r="G36" s="13">
        <f>COUNTIF(E35:AH35,"H")</f>
        <v>21</v>
      </c>
      <c r="H36" s="67" t="s">
        <v>12</v>
      </c>
      <c r="I36" s="68"/>
      <c r="J36" s="13">
        <f>COUNTIF(E35:AH35,"T")</f>
        <v>5</v>
      </c>
      <c r="K36" s="67" t="s">
        <v>13</v>
      </c>
      <c r="L36" s="68"/>
      <c r="M36" s="13">
        <f>COUNTIF(E35:AH35,"A") + COUNTIF(E35:AH35,"I")</f>
        <v>4</v>
      </c>
      <c r="N36" s="67" t="s">
        <v>14</v>
      </c>
      <c r="O36" s="68"/>
      <c r="P36" s="13">
        <f>IF((G36+J36+M36)=0,0,(G36+J36)/(G36+J36+M36)*100)</f>
        <v>86.666666666666671</v>
      </c>
      <c r="Q36" s="67"/>
      <c r="R36" s="68"/>
      <c r="S36" s="13"/>
      <c r="T36" s="67"/>
      <c r="U36" s="68"/>
      <c r="V36" s="14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6"/>
    </row>
    <row r="37" spans="1:36" s="10" customFormat="1" ht="22" customHeight="1" x14ac:dyDescent="0.25">
      <c r="A37" s="9"/>
      <c r="B37" s="69" t="s">
        <v>38</v>
      </c>
      <c r="C37" s="70"/>
      <c r="D37" s="71"/>
      <c r="E37" s="16" t="s">
        <v>8</v>
      </c>
      <c r="F37" s="16" t="s">
        <v>0</v>
      </c>
      <c r="G37" s="17" t="s">
        <v>8</v>
      </c>
      <c r="H37" s="17" t="s">
        <v>8</v>
      </c>
      <c r="I37" s="17" t="s">
        <v>8</v>
      </c>
      <c r="J37" s="17" t="s">
        <v>8</v>
      </c>
      <c r="K37" s="17" t="s">
        <v>8</v>
      </c>
      <c r="L37" s="19" t="s">
        <v>8</v>
      </c>
      <c r="M37" s="19" t="s">
        <v>9</v>
      </c>
      <c r="N37" s="18" t="s">
        <v>9</v>
      </c>
      <c r="O37" s="18" t="s">
        <v>8</v>
      </c>
      <c r="P37" s="18" t="s">
        <v>9</v>
      </c>
      <c r="Q37" s="18" t="s">
        <v>8</v>
      </c>
      <c r="R37" s="18" t="s">
        <v>8</v>
      </c>
      <c r="S37" s="18" t="s">
        <v>8</v>
      </c>
      <c r="T37" s="18" t="s">
        <v>8</v>
      </c>
      <c r="U37" s="18" t="s">
        <v>9</v>
      </c>
      <c r="V37" s="18" t="s">
        <v>8</v>
      </c>
      <c r="W37" s="18" t="s">
        <v>8</v>
      </c>
      <c r="X37" s="18" t="s">
        <v>8</v>
      </c>
      <c r="Y37" s="18" t="s">
        <v>9</v>
      </c>
      <c r="Z37" s="18" t="s">
        <v>0</v>
      </c>
      <c r="AA37" s="18" t="s">
        <v>0</v>
      </c>
      <c r="AB37" s="18" t="s">
        <v>8</v>
      </c>
      <c r="AC37" s="18" t="s">
        <v>8</v>
      </c>
      <c r="AD37" s="18" t="s">
        <v>8</v>
      </c>
      <c r="AE37" s="18" t="s">
        <v>8</v>
      </c>
      <c r="AF37" s="18" t="s">
        <v>8</v>
      </c>
      <c r="AG37" s="18" t="s">
        <v>8</v>
      </c>
      <c r="AH37" s="18" t="s">
        <v>0</v>
      </c>
      <c r="AI37" s="9"/>
    </row>
    <row r="38" spans="1:36" s="8" customFormat="1" ht="22" customHeight="1" thickBot="1" x14ac:dyDescent="0.3">
      <c r="A38" s="6"/>
      <c r="B38" s="65" t="s">
        <v>18</v>
      </c>
      <c r="C38" s="66"/>
      <c r="D38" s="7" t="s">
        <v>17</v>
      </c>
      <c r="E38" s="67" t="s">
        <v>11</v>
      </c>
      <c r="F38" s="68"/>
      <c r="G38" s="13">
        <f>COUNTIF(E37:AH37,"H")</f>
        <v>21</v>
      </c>
      <c r="H38" s="67" t="s">
        <v>12</v>
      </c>
      <c r="I38" s="68"/>
      <c r="J38" s="13">
        <f>COUNTIF(E37:AH37,"T")</f>
        <v>5</v>
      </c>
      <c r="K38" s="67" t="s">
        <v>13</v>
      </c>
      <c r="L38" s="68"/>
      <c r="M38" s="13">
        <f>COUNTIF(E37:AH37,"A") + COUNTIF(E37:AH37,"I")</f>
        <v>4</v>
      </c>
      <c r="N38" s="67" t="s">
        <v>14</v>
      </c>
      <c r="O38" s="68"/>
      <c r="P38" s="13">
        <f>IF((G38+J38+M38)=0,0,(G38+J38)/(G38+J38+M38)*100)</f>
        <v>86.666666666666671</v>
      </c>
      <c r="Q38" s="67"/>
      <c r="R38" s="68"/>
      <c r="S38" s="13"/>
      <c r="T38" s="67"/>
      <c r="U38" s="68"/>
      <c r="V38" s="14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6"/>
    </row>
    <row r="39" spans="1:36" s="10" customFormat="1" ht="22" customHeight="1" x14ac:dyDescent="0.25">
      <c r="A39" s="9"/>
      <c r="B39" s="69" t="s">
        <v>39</v>
      </c>
      <c r="C39" s="70"/>
      <c r="D39" s="71"/>
      <c r="E39" s="16" t="s">
        <v>8</v>
      </c>
      <c r="F39" s="16" t="s">
        <v>0</v>
      </c>
      <c r="G39" s="17" t="s">
        <v>8</v>
      </c>
      <c r="H39" s="17" t="s">
        <v>8</v>
      </c>
      <c r="I39" s="17" t="s">
        <v>8</v>
      </c>
      <c r="J39" s="17" t="s">
        <v>8</v>
      </c>
      <c r="K39" s="17" t="s">
        <v>8</v>
      </c>
      <c r="L39" s="19" t="s">
        <v>8</v>
      </c>
      <c r="M39" s="19" t="s">
        <v>9</v>
      </c>
      <c r="N39" s="18" t="s">
        <v>9</v>
      </c>
      <c r="O39" s="18" t="s">
        <v>8</v>
      </c>
      <c r="P39" s="18" t="s">
        <v>9</v>
      </c>
      <c r="Q39" s="18" t="s">
        <v>8</v>
      </c>
      <c r="R39" s="18" t="s">
        <v>8</v>
      </c>
      <c r="S39" s="18" t="s">
        <v>8</v>
      </c>
      <c r="T39" s="18" t="s">
        <v>8</v>
      </c>
      <c r="U39" s="18" t="s">
        <v>9</v>
      </c>
      <c r="V39" s="18" t="s">
        <v>8</v>
      </c>
      <c r="W39" s="18" t="s">
        <v>8</v>
      </c>
      <c r="X39" s="18" t="s">
        <v>8</v>
      </c>
      <c r="Y39" s="18" t="s">
        <v>9</v>
      </c>
      <c r="Z39" s="18" t="s">
        <v>0</v>
      </c>
      <c r="AA39" s="18" t="s">
        <v>0</v>
      </c>
      <c r="AB39" s="18" t="s">
        <v>8</v>
      </c>
      <c r="AC39" s="18" t="s">
        <v>8</v>
      </c>
      <c r="AD39" s="18" t="s">
        <v>8</v>
      </c>
      <c r="AE39" s="18" t="s">
        <v>8</v>
      </c>
      <c r="AF39" s="18" t="s">
        <v>8</v>
      </c>
      <c r="AG39" s="18" t="s">
        <v>8</v>
      </c>
      <c r="AH39" s="18" t="s">
        <v>0</v>
      </c>
      <c r="AI39" s="9"/>
    </row>
    <row r="40" spans="1:36" s="8" customFormat="1" ht="22" customHeight="1" thickBot="1" x14ac:dyDescent="0.3">
      <c r="A40" s="6"/>
      <c r="B40" s="65" t="s">
        <v>18</v>
      </c>
      <c r="C40" s="66"/>
      <c r="D40" s="7" t="s">
        <v>17</v>
      </c>
      <c r="E40" s="67" t="s">
        <v>11</v>
      </c>
      <c r="F40" s="68"/>
      <c r="G40" s="13">
        <f>COUNTIF(E39:AH39,"H")</f>
        <v>21</v>
      </c>
      <c r="H40" s="67" t="s">
        <v>12</v>
      </c>
      <c r="I40" s="68"/>
      <c r="J40" s="13">
        <f>COUNTIF(E39:AH39,"T")</f>
        <v>5</v>
      </c>
      <c r="K40" s="67" t="s">
        <v>13</v>
      </c>
      <c r="L40" s="68"/>
      <c r="M40" s="13">
        <f>COUNTIF(E39:AH39,"A") + COUNTIF(E39:AH39,"I")</f>
        <v>4</v>
      </c>
      <c r="N40" s="67" t="s">
        <v>14</v>
      </c>
      <c r="O40" s="68"/>
      <c r="P40" s="13">
        <f>IF((G40+J40+M40)=0,0,(G40+J40)/(G40+J40+M40)*100)</f>
        <v>86.666666666666671</v>
      </c>
      <c r="Q40" s="67"/>
      <c r="R40" s="68"/>
      <c r="S40" s="13"/>
      <c r="T40" s="67"/>
      <c r="U40" s="68"/>
      <c r="V40" s="14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6"/>
    </row>
    <row r="41" spans="1:36" s="10" customFormat="1" ht="22" customHeight="1" x14ac:dyDescent="0.25">
      <c r="A41" s="9"/>
      <c r="B41" s="69" t="s">
        <v>40</v>
      </c>
      <c r="C41" s="70"/>
      <c r="D41" s="71"/>
      <c r="E41" s="16" t="s">
        <v>8</v>
      </c>
      <c r="F41" s="16" t="s">
        <v>0</v>
      </c>
      <c r="G41" s="17" t="s">
        <v>8</v>
      </c>
      <c r="H41" s="17" t="s">
        <v>8</v>
      </c>
      <c r="I41" s="17" t="s">
        <v>8</v>
      </c>
      <c r="J41" s="17" t="s">
        <v>8</v>
      </c>
      <c r="K41" s="17" t="s">
        <v>8</v>
      </c>
      <c r="L41" s="19" t="s">
        <v>8</v>
      </c>
      <c r="M41" s="19" t="s">
        <v>9</v>
      </c>
      <c r="N41" s="18" t="s">
        <v>9</v>
      </c>
      <c r="O41" s="18" t="s">
        <v>8</v>
      </c>
      <c r="P41" s="18" t="s">
        <v>9</v>
      </c>
      <c r="Q41" s="18" t="s">
        <v>8</v>
      </c>
      <c r="R41" s="18" t="s">
        <v>8</v>
      </c>
      <c r="S41" s="18" t="s">
        <v>8</v>
      </c>
      <c r="T41" s="18" t="s">
        <v>8</v>
      </c>
      <c r="U41" s="18" t="s">
        <v>9</v>
      </c>
      <c r="V41" s="18" t="s">
        <v>8</v>
      </c>
      <c r="W41" s="18" t="s">
        <v>8</v>
      </c>
      <c r="X41" s="18" t="s">
        <v>8</v>
      </c>
      <c r="Y41" s="18" t="s">
        <v>9</v>
      </c>
      <c r="Z41" s="18" t="s">
        <v>0</v>
      </c>
      <c r="AA41" s="18" t="s">
        <v>0</v>
      </c>
      <c r="AB41" s="18" t="s">
        <v>8</v>
      </c>
      <c r="AC41" s="18" t="s">
        <v>8</v>
      </c>
      <c r="AD41" s="18" t="s">
        <v>8</v>
      </c>
      <c r="AE41" s="18" t="s">
        <v>8</v>
      </c>
      <c r="AF41" s="18" t="s">
        <v>8</v>
      </c>
      <c r="AG41" s="18" t="s">
        <v>8</v>
      </c>
      <c r="AH41" s="18" t="s">
        <v>0</v>
      </c>
      <c r="AI41" s="9"/>
    </row>
    <row r="42" spans="1:36" s="8" customFormat="1" ht="22" customHeight="1" thickBot="1" x14ac:dyDescent="0.3">
      <c r="A42" s="6"/>
      <c r="B42" s="65" t="s">
        <v>18</v>
      </c>
      <c r="C42" s="66"/>
      <c r="D42" s="7" t="s">
        <v>17</v>
      </c>
      <c r="E42" s="67" t="s">
        <v>11</v>
      </c>
      <c r="F42" s="68"/>
      <c r="G42" s="13">
        <f>COUNTIF(E41:AH41,"H")</f>
        <v>21</v>
      </c>
      <c r="H42" s="67" t="s">
        <v>12</v>
      </c>
      <c r="I42" s="68"/>
      <c r="J42" s="13">
        <f>COUNTIF(E41:AH41,"T")</f>
        <v>5</v>
      </c>
      <c r="K42" s="67" t="s">
        <v>13</v>
      </c>
      <c r="L42" s="68"/>
      <c r="M42" s="13">
        <f>COUNTIF(E41:AH41,"A") + COUNTIF(E41:AH41,"I")</f>
        <v>4</v>
      </c>
      <c r="N42" s="67" t="s">
        <v>14</v>
      </c>
      <c r="O42" s="68"/>
      <c r="P42" s="13">
        <f>IF((G42+J42+M42)=0,0,(G42+J42)/(G42+J42+M42)*100)</f>
        <v>86.666666666666671</v>
      </c>
      <c r="Q42" s="67"/>
      <c r="R42" s="68"/>
      <c r="S42" s="13"/>
      <c r="T42" s="67"/>
      <c r="U42" s="68"/>
      <c r="V42" s="14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6"/>
    </row>
    <row r="43" spans="1:36" s="10" customFormat="1" ht="22" customHeight="1" x14ac:dyDescent="0.25">
      <c r="A43" s="9"/>
      <c r="B43" s="62" t="s">
        <v>41</v>
      </c>
      <c r="C43" s="63"/>
      <c r="D43" s="64"/>
      <c r="E43" s="16" t="s">
        <v>8</v>
      </c>
      <c r="F43" s="16" t="s">
        <v>0</v>
      </c>
      <c r="G43" s="17" t="s">
        <v>8</v>
      </c>
      <c r="H43" s="17" t="s">
        <v>8</v>
      </c>
      <c r="I43" s="17" t="s">
        <v>8</v>
      </c>
      <c r="J43" s="17" t="s">
        <v>8</v>
      </c>
      <c r="K43" s="17" t="s">
        <v>8</v>
      </c>
      <c r="L43" s="19" t="s">
        <v>8</v>
      </c>
      <c r="M43" s="19" t="s">
        <v>9</v>
      </c>
      <c r="N43" s="18" t="s">
        <v>9</v>
      </c>
      <c r="O43" s="18" t="s">
        <v>8</v>
      </c>
      <c r="P43" s="18" t="s">
        <v>9</v>
      </c>
      <c r="Q43" s="18" t="s">
        <v>8</v>
      </c>
      <c r="R43" s="18" t="s">
        <v>8</v>
      </c>
      <c r="S43" s="18" t="s">
        <v>8</v>
      </c>
      <c r="T43" s="18" t="s">
        <v>8</v>
      </c>
      <c r="U43" s="18" t="s">
        <v>9</v>
      </c>
      <c r="V43" s="18" t="s">
        <v>8</v>
      </c>
      <c r="W43" s="18" t="s">
        <v>8</v>
      </c>
      <c r="X43" s="18" t="s">
        <v>8</v>
      </c>
      <c r="Y43" s="18" t="s">
        <v>9</v>
      </c>
      <c r="Z43" s="18" t="s">
        <v>0</v>
      </c>
      <c r="AA43" s="18" t="s">
        <v>0</v>
      </c>
      <c r="AB43" s="18" t="s">
        <v>8</v>
      </c>
      <c r="AC43" s="18" t="s">
        <v>8</v>
      </c>
      <c r="AD43" s="18" t="s">
        <v>8</v>
      </c>
      <c r="AE43" s="18" t="s">
        <v>8</v>
      </c>
      <c r="AF43" s="18" t="s">
        <v>8</v>
      </c>
      <c r="AG43" s="18" t="s">
        <v>8</v>
      </c>
      <c r="AH43" s="18" t="s">
        <v>0</v>
      </c>
      <c r="AI43" s="9"/>
    </row>
    <row r="44" spans="1:36" s="8" customFormat="1" ht="22" customHeight="1" thickBot="1" x14ac:dyDescent="0.3">
      <c r="A44" s="6"/>
      <c r="B44" s="65" t="s">
        <v>18</v>
      </c>
      <c r="C44" s="66"/>
      <c r="D44" s="7" t="s">
        <v>17</v>
      </c>
      <c r="E44" s="67" t="s">
        <v>11</v>
      </c>
      <c r="F44" s="68"/>
      <c r="G44" s="13">
        <f>COUNTIF(E43:AH43,"H")</f>
        <v>21</v>
      </c>
      <c r="H44" s="67" t="s">
        <v>12</v>
      </c>
      <c r="I44" s="68"/>
      <c r="J44" s="13">
        <f>COUNTIF(E43:AH43,"T")</f>
        <v>5</v>
      </c>
      <c r="K44" s="67" t="s">
        <v>13</v>
      </c>
      <c r="L44" s="68"/>
      <c r="M44" s="13">
        <f>COUNTIF(E43:AH43,"A") + COUNTIF(E43:AH43,"I")</f>
        <v>4</v>
      </c>
      <c r="N44" s="67" t="s">
        <v>14</v>
      </c>
      <c r="O44" s="68"/>
      <c r="P44" s="13">
        <f>IF((G44+J44+M44)=0,0,(G44+J44)/(G44+J44+M44)*100)</f>
        <v>86.666666666666671</v>
      </c>
      <c r="Q44" s="67"/>
      <c r="R44" s="68"/>
      <c r="S44" s="13"/>
      <c r="T44" s="67"/>
      <c r="U44" s="68"/>
      <c r="V44" s="14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6"/>
    </row>
    <row r="45" spans="1:36" ht="22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ht="28.5" customHeight="1" x14ac:dyDescent="0.35">
      <c r="A46" s="2"/>
      <c r="B46" s="48" t="s">
        <v>19</v>
      </c>
      <c r="C46" s="48"/>
      <c r="D46" s="48"/>
      <c r="E46" s="48"/>
      <c r="F46" s="48"/>
      <c r="G46" s="48"/>
      <c r="H46" s="48"/>
      <c r="I46" s="48"/>
      <c r="J46" s="48"/>
      <c r="L46" s="49" t="s">
        <v>74</v>
      </c>
      <c r="M46" s="50"/>
      <c r="N46" s="50"/>
      <c r="O46" s="50"/>
      <c r="P46" s="50"/>
      <c r="Q46" s="50"/>
      <c r="R46" s="50"/>
      <c r="S46" s="50"/>
      <c r="T46" s="50"/>
      <c r="U46" s="50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6" ht="22" customHeight="1" x14ac:dyDescent="0.35">
      <c r="A47" s="2"/>
      <c r="B47" s="51"/>
      <c r="C47" s="51"/>
      <c r="D47" s="51"/>
      <c r="E47" s="51"/>
      <c r="F47" s="51"/>
      <c r="G47" s="51"/>
      <c r="H47" s="51"/>
      <c r="I47" s="51"/>
      <c r="J47" s="51"/>
      <c r="L47" s="52" t="s">
        <v>21</v>
      </c>
      <c r="M47" s="52"/>
      <c r="N47" s="52"/>
      <c r="O47" s="52"/>
      <c r="P47" s="52"/>
      <c r="Q47" s="52"/>
      <c r="R47" s="52"/>
      <c r="S47" s="52"/>
      <c r="T47" s="53">
        <v>30</v>
      </c>
      <c r="U47" s="54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6" ht="22" customHeight="1" x14ac:dyDescent="0.35">
      <c r="A48" s="2"/>
      <c r="B48" s="51"/>
      <c r="C48" s="51"/>
      <c r="D48" s="51"/>
      <c r="E48" s="51"/>
      <c r="F48" s="51"/>
      <c r="G48" s="51"/>
      <c r="H48" s="51"/>
      <c r="I48" s="51"/>
      <c r="J48" s="51"/>
      <c r="L48" s="52" t="s">
        <v>42</v>
      </c>
      <c r="M48" s="52"/>
      <c r="N48" s="52"/>
      <c r="O48" s="52"/>
      <c r="P48" s="52"/>
      <c r="Q48" s="52"/>
      <c r="R48" s="52"/>
      <c r="S48" s="52"/>
      <c r="T48" s="53">
        <v>20</v>
      </c>
      <c r="U48" s="54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1:36" ht="22" customHeight="1" x14ac:dyDescent="0.35">
      <c r="A49" s="2"/>
      <c r="B49" s="51"/>
      <c r="C49" s="51"/>
      <c r="D49" s="51"/>
      <c r="E49" s="51"/>
      <c r="F49" s="51"/>
      <c r="G49" s="51"/>
      <c r="H49" s="51"/>
      <c r="I49" s="51"/>
      <c r="J49" s="51"/>
      <c r="L49" s="55" t="s">
        <v>43</v>
      </c>
      <c r="M49" s="55"/>
      <c r="N49" s="55"/>
      <c r="O49" s="55"/>
      <c r="P49" s="55"/>
      <c r="Q49" s="55"/>
      <c r="R49" s="55"/>
      <c r="S49" s="55"/>
      <c r="T49" s="58">
        <f>T47*T48</f>
        <v>600</v>
      </c>
      <c r="U49" s="59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1:36" ht="22" customHeight="1" x14ac:dyDescent="0.35">
      <c r="A50" s="2"/>
      <c r="B50" s="51"/>
      <c r="C50" s="51"/>
      <c r="D50" s="51"/>
      <c r="E50" s="51"/>
      <c r="F50" s="51"/>
      <c r="G50" s="51"/>
      <c r="H50" s="51"/>
      <c r="I50" s="51"/>
      <c r="J50" s="51"/>
      <c r="L50" s="52" t="s">
        <v>44</v>
      </c>
      <c r="M50" s="52"/>
      <c r="N50" s="52"/>
      <c r="O50" s="52"/>
      <c r="P50" s="52"/>
      <c r="Q50" s="52"/>
      <c r="R50" s="52"/>
      <c r="S50" s="52"/>
      <c r="T50" s="60">
        <f>COUNTIF(E5:AH43,"H")</f>
        <v>424</v>
      </c>
      <c r="U50" s="61"/>
      <c r="AD50" s="2"/>
      <c r="AE50" s="2"/>
      <c r="AF50" s="2"/>
      <c r="AG50" s="2"/>
      <c r="AH50" s="2"/>
      <c r="AI50" s="2"/>
    </row>
    <row r="51" spans="1:36" ht="22" customHeight="1" x14ac:dyDescent="0.35">
      <c r="A51" s="2"/>
      <c r="B51" s="51"/>
      <c r="C51" s="51"/>
      <c r="D51" s="51"/>
      <c r="E51" s="51"/>
      <c r="F51" s="51"/>
      <c r="G51" s="51"/>
      <c r="H51" s="51"/>
      <c r="I51" s="51"/>
      <c r="J51" s="51"/>
      <c r="L51" s="52" t="s">
        <v>87</v>
      </c>
      <c r="M51" s="52"/>
      <c r="N51" s="52"/>
      <c r="O51" s="52"/>
      <c r="P51" s="52"/>
      <c r="Q51" s="52"/>
      <c r="R51" s="52"/>
      <c r="S51" s="52"/>
      <c r="T51" s="60">
        <f>COUNTIF(E5:AH43,"T")</f>
        <v>96</v>
      </c>
      <c r="U51" s="61"/>
      <c r="AD51" s="2"/>
      <c r="AE51" s="2"/>
      <c r="AF51" s="2"/>
      <c r="AG51" s="2"/>
      <c r="AH51" s="2"/>
      <c r="AI51" s="2"/>
    </row>
    <row r="52" spans="1:36" ht="22" customHeight="1" x14ac:dyDescent="0.35">
      <c r="A52" s="2"/>
      <c r="B52" s="51"/>
      <c r="C52" s="51"/>
      <c r="D52" s="51"/>
      <c r="E52" s="51"/>
      <c r="F52" s="51"/>
      <c r="G52" s="51"/>
      <c r="H52" s="51"/>
      <c r="I52" s="51"/>
      <c r="J52" s="51"/>
      <c r="L52" s="52" t="s">
        <v>88</v>
      </c>
      <c r="M52" s="52"/>
      <c r="N52" s="52"/>
      <c r="O52" s="52"/>
      <c r="P52" s="52"/>
      <c r="Q52" s="52"/>
      <c r="R52" s="52"/>
      <c r="S52" s="52"/>
      <c r="T52" s="60">
        <f>COUNTIF(E5:AH43,"A")+COUNTIF(E5:AH43,"I")</f>
        <v>80</v>
      </c>
      <c r="U52" s="61"/>
      <c r="AD52" s="2"/>
      <c r="AE52" s="2"/>
      <c r="AF52" s="2"/>
      <c r="AG52" s="2"/>
      <c r="AH52" s="2"/>
      <c r="AI52" s="2"/>
    </row>
    <row r="53" spans="1:36" ht="22" customHeight="1" x14ac:dyDescent="0.35">
      <c r="A53" s="2"/>
      <c r="B53" s="51"/>
      <c r="C53" s="51"/>
      <c r="D53" s="51"/>
      <c r="E53" s="51"/>
      <c r="F53" s="51"/>
      <c r="G53" s="51"/>
      <c r="H53" s="51"/>
      <c r="I53" s="51"/>
      <c r="J53" s="51"/>
      <c r="L53" s="52" t="s">
        <v>47</v>
      </c>
      <c r="M53" s="52"/>
      <c r="N53" s="52"/>
      <c r="O53" s="52"/>
      <c r="P53" s="52"/>
      <c r="Q53" s="52"/>
      <c r="R53" s="52"/>
      <c r="S53" s="52"/>
      <c r="T53" s="56">
        <f>IF((T50+T51+T52)=0,0,(T50+T51)/( T50+T51+T52))</f>
        <v>0.8666666666666667</v>
      </c>
      <c r="U53" s="57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1:36" ht="16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ht="16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ht="16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ht="16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ht="16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ht="16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ht="16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spans="1:36" ht="16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ht="16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6" ht="16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ht="16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ht="16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ht="16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spans="1:36" ht="16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6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spans="1:36" ht="16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spans="1:36" ht="16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spans="1:36" ht="16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spans="1:36" ht="16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spans="1:36" ht="16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6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6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6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spans="1:36" ht="16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spans="1:36" ht="16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spans="1:36" ht="16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6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6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spans="1:36" ht="16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spans="1:36" ht="16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spans="1:36" ht="16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spans="1:36" ht="16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spans="1:36" ht="16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spans="1:36" ht="16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spans="1:36" ht="16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6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spans="1:36" ht="16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spans="1:36" ht="16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spans="1:36" ht="16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spans="1:36" ht="16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spans="1:36" ht="16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spans="1:36" ht="16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spans="1:36" ht="16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spans="1:36" ht="16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spans="1:36" ht="16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spans="1:36" ht="16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spans="1:36" ht="16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spans="1:36" ht="16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spans="1:36" ht="16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spans="1:36" ht="16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spans="1:36" ht="16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spans="1:36" ht="16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spans="1:36" ht="16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spans="1:36" ht="16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spans="1:36" ht="16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spans="1:36" ht="16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spans="1:36" ht="16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spans="1:36" ht="16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spans="1:36" ht="16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spans="1:36" ht="16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spans="1:36" ht="16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spans="1:36" ht="16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spans="1:36" ht="16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spans="1:36" ht="16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spans="1:36" ht="16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spans="1:36" ht="16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spans="1:36" ht="16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6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6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6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6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6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6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6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6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6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6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6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6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6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6" ht="16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6" ht="16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6" ht="16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6" ht="16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6" ht="16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6" ht="16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spans="1:36" ht="16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spans="1:36" ht="16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spans="1:36" ht="16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spans="1:36" ht="16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spans="1:36" ht="16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spans="1:36" ht="16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spans="1:36" ht="16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spans="1:36" ht="16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spans="1:36" ht="16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spans="1:36" ht="16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spans="1:36" ht="16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spans="1:36" ht="16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spans="1:36" ht="16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spans="1:36" ht="16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spans="1:36" ht="16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spans="1:36" ht="16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spans="1:36" ht="16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spans="1:36" ht="16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spans="1:36" ht="16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spans="1:36" ht="16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spans="1:36" ht="16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spans="1:36" ht="16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spans="1:36" ht="16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spans="1:36" ht="16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spans="1:36" ht="16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spans="1:36" ht="16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spans="1:36" ht="16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spans="1:36" ht="16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spans="1:36" ht="16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spans="1:36" ht="16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spans="1:36" ht="16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spans="1:36" ht="16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spans="1:36" ht="16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spans="1:36" ht="16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spans="1:36" ht="16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spans="1:36" ht="16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spans="1:36" ht="16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spans="1:36" ht="16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spans="1:36" ht="16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spans="1:36" ht="16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spans="1:36" ht="16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spans="1:36" ht="16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spans="1:36" ht="16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spans="1:36" ht="16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spans="1:36" ht="16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spans="1:36" ht="16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spans="1:36" ht="16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spans="1:36" ht="16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spans="1:36" ht="16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spans="1:36" ht="16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spans="1:36" ht="16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spans="1:36" ht="16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spans="1:36" ht="16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spans="1:36" ht="16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spans="1:36" ht="16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spans="1:36" ht="16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spans="1:36" ht="16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spans="1:36" ht="16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spans="1:36" ht="16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spans="1:36" ht="16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spans="1:36" ht="16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spans="1:36" ht="16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spans="1:36" ht="16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spans="1:36" ht="16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spans="1:36" ht="16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spans="1:36" ht="16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spans="1:36" ht="16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spans="1:36" ht="16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spans="1:36" ht="16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spans="1:36" ht="16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spans="1:36" ht="16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spans="1:36" ht="16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spans="1:36" ht="16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spans="1:36" ht="16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spans="1:36" ht="16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spans="1:36" ht="16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spans="1:36" ht="16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spans="1:36" ht="16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spans="1:36" ht="16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spans="1:36" ht="16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spans="1:36" ht="16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spans="1:36" ht="16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spans="1:36" ht="16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spans="1:36" ht="16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spans="1:36" ht="16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spans="1:36" ht="16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spans="1:36" ht="16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spans="1:36" ht="16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spans="1:36" ht="16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spans="1:36" ht="16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spans="1:36" ht="16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spans="1:36" ht="16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spans="1:36" ht="16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spans="1:36" ht="16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spans="1:36" ht="16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spans="1:36" ht="16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spans="1:36" ht="16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spans="1:36" ht="16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spans="1:36" ht="16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spans="1:36" ht="16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spans="1:36" ht="16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spans="1:36" ht="16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spans="1:36" ht="16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spans="1:36" ht="16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spans="1:36" ht="16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spans="1:36" ht="16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spans="1:36" ht="16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spans="1:36" ht="16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spans="1:36" ht="16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spans="1:36" ht="16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spans="1:36" ht="16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spans="1:36" ht="16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spans="1:36" ht="16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spans="1:36" ht="16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spans="1:36" ht="16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spans="1:36" ht="16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spans="1:36" ht="16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spans="1:36" ht="16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spans="1:36" ht="16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spans="1:36" ht="16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spans="1:36" ht="16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spans="1:36" ht="16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spans="1:36" ht="16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spans="1:36" ht="16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spans="1:36" ht="16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spans="1:36" ht="16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spans="1:36" ht="16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spans="1:36" ht="16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spans="1:36" ht="16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spans="1:36" ht="16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spans="1:36" ht="16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spans="1:36" ht="16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spans="1:36" ht="16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spans="1:36" ht="16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spans="1:36" ht="16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spans="1:36" ht="16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spans="1:36" ht="16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spans="1:36" ht="16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spans="1:36" ht="16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spans="1:36" ht="16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spans="1:36" ht="16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spans="1:36" ht="16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spans="1:36" ht="16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spans="1:36" ht="16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spans="1:36" ht="16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spans="1:36" ht="16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spans="1:36" ht="16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spans="1:36" ht="16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spans="1:36" ht="16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spans="1:36" ht="16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spans="1:36" ht="16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spans="1:36" ht="16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spans="1:36" ht="16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spans="1:36" ht="16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spans="1:36" ht="16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spans="1:36" ht="16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spans="1:36" ht="16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spans="1:36" ht="16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spans="1:36" ht="16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spans="1:36" ht="16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spans="1:36" ht="16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spans="1:36" ht="16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spans="1:36" ht="16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spans="1:36" ht="16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spans="1:36" ht="16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spans="1:36" ht="16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spans="1:36" ht="16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spans="1:36" ht="16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spans="1:36" ht="16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spans="1:36" ht="16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spans="1:36" ht="16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spans="1:36" ht="16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spans="1:36" ht="16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spans="1:36" ht="16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spans="1:36" ht="16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spans="1:36" ht="16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spans="1:36" ht="16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spans="1:36" ht="16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spans="1:36" ht="16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spans="1:36" ht="16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spans="1:36" ht="16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spans="1:36" ht="16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spans="1:36" ht="16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spans="1:36" ht="16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spans="1:36" ht="16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spans="1:36" ht="16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spans="1:36" ht="16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spans="1:36" ht="16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spans="1:36" ht="16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spans="1:36" ht="16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spans="1:36" ht="16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spans="1:36" ht="16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spans="1:36" ht="16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spans="1:36" ht="16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spans="1:36" ht="16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spans="1:36" ht="16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spans="1:36" ht="16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spans="1:36" ht="16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spans="1:36" ht="16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spans="1:36" ht="16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spans="1:36" ht="16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spans="1:36" ht="16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spans="1:36" ht="16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spans="1:36" ht="16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spans="1:36" ht="16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spans="1:36" ht="16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spans="1:36" ht="16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spans="1:36" ht="16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spans="1:36" ht="16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spans="1:36" ht="16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spans="1:36" ht="16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spans="1:36" ht="16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spans="1:36" ht="16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spans="1:36" ht="16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spans="1:36" ht="16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spans="1:36" ht="16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spans="1:36" ht="16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spans="1:36" ht="16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spans="1:36" ht="16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spans="1:36" ht="16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spans="1:36" ht="16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spans="1:36" ht="16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spans="1:36" ht="16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spans="1:36" ht="16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spans="1:36" ht="16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spans="1:36" ht="16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spans="1:36" ht="16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spans="1:36" ht="16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spans="1:36" ht="16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spans="1:36" ht="16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spans="1:36" ht="16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spans="1:36" ht="16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spans="1:36" ht="16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spans="1:36" ht="16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spans="1:36" ht="16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spans="1:36" ht="16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spans="1:36" ht="16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spans="1:36" ht="16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spans="1:36" ht="16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spans="1:36" ht="16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spans="1:36" ht="16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spans="1:36" ht="16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spans="1:36" ht="16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spans="1:36" ht="16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spans="1:36" ht="16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spans="1:36" ht="16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spans="1:36" ht="16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spans="1:36" ht="16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spans="1:36" ht="16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spans="1:36" ht="16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spans="1:36" ht="16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spans="1:36" ht="16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spans="1:36" ht="16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spans="1:36" ht="16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spans="1:36" ht="16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spans="1:36" ht="16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spans="1:36" ht="16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spans="1:36" ht="16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spans="1:36" ht="16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spans="1:36" ht="16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spans="1:36" ht="16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spans="1:36" ht="16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spans="1:36" ht="16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spans="1:36" ht="16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spans="1:36" ht="16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spans="1:36" ht="16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spans="1:36" ht="16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spans="1:36" ht="16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spans="1:36" ht="16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spans="1:36" ht="16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spans="1:36" ht="16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spans="1:36" ht="16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spans="1:36" ht="16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spans="1:36" ht="16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spans="1:36" ht="16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spans="1:36" ht="16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spans="1:36" ht="16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spans="1:36" ht="16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spans="1:36" ht="16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spans="1:36" ht="16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spans="1:36" ht="16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spans="1:36" ht="16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spans="1:36" ht="16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spans="1:36" ht="16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spans="1:36" ht="16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spans="1:36" ht="16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spans="1:36" ht="16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spans="1:36" ht="16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spans="1:36" ht="16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spans="1:36" ht="16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spans="1:36" ht="16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spans="1:36" ht="16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spans="1:36" ht="16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spans="1:36" ht="16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spans="1:36" ht="16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spans="1:36" ht="16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spans="1:36" ht="16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spans="1:36" ht="16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spans="1:36" ht="16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spans="1:36" ht="16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spans="1:36" ht="16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spans="1:36" ht="16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spans="1:36" ht="16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spans="1:36" ht="16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spans="1:36" ht="16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spans="1:36" ht="16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spans="1:36" ht="16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spans="1:36" ht="16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spans="1:36" ht="16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spans="1:36" ht="16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spans="1:36" ht="16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spans="1:36" ht="16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spans="1:36" ht="16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spans="1:36" ht="16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spans="1:36" ht="16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spans="1:36" ht="16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spans="1:36" ht="16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spans="1:36" ht="16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spans="1:36" ht="16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spans="1:36" ht="16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spans="1:36" ht="16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spans="1:36" ht="16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spans="1:36" ht="16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spans="1:36" ht="16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spans="1:36" ht="16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spans="1:36" ht="16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spans="1:36" ht="16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spans="1:36" ht="16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spans="1:36" ht="16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spans="1:36" ht="16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spans="1:36" ht="16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spans="1:36" ht="16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spans="1:36" ht="16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spans="1:36" ht="16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spans="1:36" ht="16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spans="1:36" ht="16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spans="1:36" ht="16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spans="1:36" ht="16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spans="1:36" ht="16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spans="1:36" ht="16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spans="1:36" ht="16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spans="1:36" ht="16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spans="1:36" ht="16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spans="1:36" ht="16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spans="1:36" ht="16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spans="1:36" ht="16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spans="1:36" ht="16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spans="1:36" ht="16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spans="1:36" ht="16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spans="1:36" ht="16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spans="1:36" ht="16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spans="1:36" ht="16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spans="1:36" ht="16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spans="1:36" ht="16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spans="1:36" ht="16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spans="1:36" ht="16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spans="1:36" ht="16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spans="1:36" ht="16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spans="1:36" ht="16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spans="1:36" ht="16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spans="1:36" ht="16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spans="1:36" ht="16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spans="1:36" ht="16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spans="1:36" ht="16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spans="1:36" ht="16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spans="1:36" ht="16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spans="1:36" ht="16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spans="1:36" ht="16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spans="1:36" ht="16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spans="1:36" ht="16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spans="1:36" ht="16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spans="1:36" ht="16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spans="1:36" ht="16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spans="1:36" ht="16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spans="1:36" ht="16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spans="1:36" ht="16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spans="1:36" ht="16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spans="1:36" ht="16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spans="1:36" ht="16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spans="1:36" ht="16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spans="1:36" ht="16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spans="1:36" ht="16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spans="1:36" ht="16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spans="1:36" ht="16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spans="1:36" ht="16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spans="1:36" ht="16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spans="1:36" ht="16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spans="1:36" ht="16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spans="1:36" ht="16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spans="1:36" ht="16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spans="1:36" ht="16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spans="1:36" ht="16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spans="1:36" ht="16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spans="1:36" ht="16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spans="1:36" ht="16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spans="1:36" ht="16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spans="1:36" ht="16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spans="1:36" ht="16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spans="1:36" ht="16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spans="1:36" ht="16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spans="1:36" ht="16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spans="1:36" ht="16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spans="1:36" ht="16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spans="1:36" ht="16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spans="1:36" ht="16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spans="1:36" ht="16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spans="1:36" ht="16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spans="1:36" ht="16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spans="1:36" ht="16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spans="1:36" ht="16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spans="1:36" ht="16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spans="1:36" ht="16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spans="1:36" ht="16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spans="1:36" ht="16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spans="1:36" ht="16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spans="1:36" ht="16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spans="1:36" ht="16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spans="1:36" ht="16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spans="1:36" ht="16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spans="1:36" ht="16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spans="1:36" ht="16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spans="1:36" ht="16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spans="1:36" ht="16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spans="1:36" ht="16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spans="1:36" ht="16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spans="1:36" ht="16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spans="1:36" ht="16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spans="1:36" ht="16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spans="1:36" ht="16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spans="1:36" ht="16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spans="1:36" ht="16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spans="1:36" ht="16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spans="1:36" ht="16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spans="1:36" ht="16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spans="1:36" ht="16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spans="1:36" ht="16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spans="1:36" ht="16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spans="1:36" ht="16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spans="1:36" ht="16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spans="1:36" ht="16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spans="1:36" ht="16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spans="1:36" ht="16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spans="1:36" ht="16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spans="1:36" ht="16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spans="1:36" ht="16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spans="1:36" ht="16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spans="1:36" ht="16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spans="1:36" ht="16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spans="1:36" ht="16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spans="1:36" ht="16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spans="1:36" ht="16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spans="1:36" ht="16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spans="1:36" ht="16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spans="1:36" ht="16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spans="1:36" ht="16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spans="1:36" ht="16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spans="1:36" ht="16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spans="1:36" ht="16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spans="1:36" ht="16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spans="1:36" ht="16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spans="1:36" ht="16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spans="1:36" ht="16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spans="1:36" ht="16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spans="1:36" ht="16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spans="1:36" ht="16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spans="1:36" ht="16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spans="1:36" ht="16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spans="1:36" ht="16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spans="1:36" ht="16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spans="1:36" ht="16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spans="1:36" ht="16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spans="1:36" ht="16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spans="1:36" ht="16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spans="1:36" ht="16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spans="1:36" ht="16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spans="1:36" ht="16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spans="1:36" ht="16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spans="1:36" ht="16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spans="1:36" ht="16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spans="1:36" ht="16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spans="1:36" ht="16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spans="1:36" ht="16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spans="1:36" ht="16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spans="1:36" ht="16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spans="1:36" ht="16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spans="1:36" ht="16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spans="1:36" ht="16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spans="1:36" ht="16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spans="1:36" ht="16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spans="1:36" ht="16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spans="1:36" ht="16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spans="1:36" ht="16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spans="1:36" ht="16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spans="1:36" ht="16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spans="1:36" ht="16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spans="1:36" ht="16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spans="1:36" ht="16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spans="1:36" ht="16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spans="1:36" ht="16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spans="1:36" ht="16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spans="1:36" ht="16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spans="1:36" ht="16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spans="1:36" ht="16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spans="1:36" ht="16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spans="1:36" ht="16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spans="1:36" ht="16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spans="1:36" ht="16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spans="1:36" ht="16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spans="1:36" ht="16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spans="1:36" ht="16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spans="1:36" ht="16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</sheetData>
  <mergeCells count="184">
    <mergeCell ref="M2:N2"/>
    <mergeCell ref="Q2:R2"/>
    <mergeCell ref="U2:W2"/>
    <mergeCell ref="C4:D4"/>
    <mergeCell ref="B5:D5"/>
    <mergeCell ref="B6:C6"/>
    <mergeCell ref="E6:F6"/>
    <mergeCell ref="H6:I6"/>
    <mergeCell ref="K6:L6"/>
    <mergeCell ref="B2:D2"/>
    <mergeCell ref="E2:F2"/>
    <mergeCell ref="I2:J2"/>
    <mergeCell ref="N6:O6"/>
    <mergeCell ref="Q6:R6"/>
    <mergeCell ref="T6:U6"/>
    <mergeCell ref="B7:D7"/>
    <mergeCell ref="B8:C8"/>
    <mergeCell ref="E8:F8"/>
    <mergeCell ref="H8:I8"/>
    <mergeCell ref="K8:L8"/>
    <mergeCell ref="N8:O8"/>
    <mergeCell ref="Q8:R8"/>
    <mergeCell ref="B11:D11"/>
    <mergeCell ref="B12:C12"/>
    <mergeCell ref="E12:F12"/>
    <mergeCell ref="H12:I12"/>
    <mergeCell ref="K12:L12"/>
    <mergeCell ref="N12:O12"/>
    <mergeCell ref="T8:U8"/>
    <mergeCell ref="B9:D9"/>
    <mergeCell ref="B10:C10"/>
    <mergeCell ref="E10:F10"/>
    <mergeCell ref="H10:I10"/>
    <mergeCell ref="K10:L10"/>
    <mergeCell ref="N10:O10"/>
    <mergeCell ref="Q10:R10"/>
    <mergeCell ref="T10:U10"/>
    <mergeCell ref="B15:D15"/>
    <mergeCell ref="B16:C16"/>
    <mergeCell ref="E16:F16"/>
    <mergeCell ref="H16:I16"/>
    <mergeCell ref="K16:L16"/>
    <mergeCell ref="N16:O16"/>
    <mergeCell ref="Q12:R12"/>
    <mergeCell ref="T12:U12"/>
    <mergeCell ref="B13:D13"/>
    <mergeCell ref="B14:C14"/>
    <mergeCell ref="E14:F14"/>
    <mergeCell ref="H14:I14"/>
    <mergeCell ref="K14:L14"/>
    <mergeCell ref="N14:O14"/>
    <mergeCell ref="Q14:R14"/>
    <mergeCell ref="T14:U14"/>
    <mergeCell ref="B19:D19"/>
    <mergeCell ref="B20:C20"/>
    <mergeCell ref="E20:F20"/>
    <mergeCell ref="H20:I20"/>
    <mergeCell ref="K20:L20"/>
    <mergeCell ref="N20:O20"/>
    <mergeCell ref="Q16:R16"/>
    <mergeCell ref="T16:U16"/>
    <mergeCell ref="B17:D17"/>
    <mergeCell ref="B18:C18"/>
    <mergeCell ref="E18:F18"/>
    <mergeCell ref="H18:I18"/>
    <mergeCell ref="K18:L18"/>
    <mergeCell ref="N18:O18"/>
    <mergeCell ref="Q18:R18"/>
    <mergeCell ref="T18:U18"/>
    <mergeCell ref="B23:D23"/>
    <mergeCell ref="B24:C24"/>
    <mergeCell ref="E24:F24"/>
    <mergeCell ref="H24:I24"/>
    <mergeCell ref="K24:L24"/>
    <mergeCell ref="N24:O24"/>
    <mergeCell ref="Q20:R20"/>
    <mergeCell ref="T20:U20"/>
    <mergeCell ref="B21:D21"/>
    <mergeCell ref="B22:C22"/>
    <mergeCell ref="E22:F22"/>
    <mergeCell ref="H22:I22"/>
    <mergeCell ref="K22:L22"/>
    <mergeCell ref="N22:O22"/>
    <mergeCell ref="Q22:R22"/>
    <mergeCell ref="T22:U22"/>
    <mergeCell ref="B27:D27"/>
    <mergeCell ref="B28:C28"/>
    <mergeCell ref="E28:F28"/>
    <mergeCell ref="H28:I28"/>
    <mergeCell ref="K28:L28"/>
    <mergeCell ref="N28:O28"/>
    <mergeCell ref="Q24:R24"/>
    <mergeCell ref="T24:U24"/>
    <mergeCell ref="B25:D25"/>
    <mergeCell ref="B26:C26"/>
    <mergeCell ref="E26:F26"/>
    <mergeCell ref="H26:I26"/>
    <mergeCell ref="K26:L26"/>
    <mergeCell ref="N26:O26"/>
    <mergeCell ref="Q26:R26"/>
    <mergeCell ref="T26:U26"/>
    <mergeCell ref="B31:D31"/>
    <mergeCell ref="B32:C32"/>
    <mergeCell ref="E32:F32"/>
    <mergeCell ref="H32:I32"/>
    <mergeCell ref="K32:L32"/>
    <mergeCell ref="N32:O32"/>
    <mergeCell ref="Q28:R28"/>
    <mergeCell ref="T28:U28"/>
    <mergeCell ref="B29:D29"/>
    <mergeCell ref="B30:C30"/>
    <mergeCell ref="E30:F30"/>
    <mergeCell ref="H30:I30"/>
    <mergeCell ref="K30:L30"/>
    <mergeCell ref="N30:O30"/>
    <mergeCell ref="Q30:R30"/>
    <mergeCell ref="T30:U30"/>
    <mergeCell ref="B35:D35"/>
    <mergeCell ref="B36:C36"/>
    <mergeCell ref="E36:F36"/>
    <mergeCell ref="H36:I36"/>
    <mergeCell ref="K36:L36"/>
    <mergeCell ref="N36:O36"/>
    <mergeCell ref="Q32:R32"/>
    <mergeCell ref="T32:U32"/>
    <mergeCell ref="B33:D33"/>
    <mergeCell ref="B34:C34"/>
    <mergeCell ref="E34:F34"/>
    <mergeCell ref="H34:I34"/>
    <mergeCell ref="K34:L34"/>
    <mergeCell ref="N34:O34"/>
    <mergeCell ref="Q34:R34"/>
    <mergeCell ref="T34:U34"/>
    <mergeCell ref="B39:D39"/>
    <mergeCell ref="B40:C40"/>
    <mergeCell ref="E40:F40"/>
    <mergeCell ref="H40:I40"/>
    <mergeCell ref="K40:L40"/>
    <mergeCell ref="N40:O40"/>
    <mergeCell ref="Q36:R36"/>
    <mergeCell ref="T36:U36"/>
    <mergeCell ref="B37:D37"/>
    <mergeCell ref="B38:C38"/>
    <mergeCell ref="E38:F38"/>
    <mergeCell ref="H38:I38"/>
    <mergeCell ref="K38:L38"/>
    <mergeCell ref="N38:O38"/>
    <mergeCell ref="Q38:R38"/>
    <mergeCell ref="T38:U38"/>
    <mergeCell ref="B43:D43"/>
    <mergeCell ref="B44:C44"/>
    <mergeCell ref="E44:F44"/>
    <mergeCell ref="H44:I44"/>
    <mergeCell ref="K44:L44"/>
    <mergeCell ref="N44:O44"/>
    <mergeCell ref="Q40:R40"/>
    <mergeCell ref="T40:U40"/>
    <mergeCell ref="B41:D41"/>
    <mergeCell ref="B42:C42"/>
    <mergeCell ref="E42:F42"/>
    <mergeCell ref="H42:I42"/>
    <mergeCell ref="K42:L42"/>
    <mergeCell ref="N42:O42"/>
    <mergeCell ref="Q42:R42"/>
    <mergeCell ref="T42:U42"/>
    <mergeCell ref="Q44:R44"/>
    <mergeCell ref="T44:U44"/>
    <mergeCell ref="B46:J46"/>
    <mergeCell ref="L46:U46"/>
    <mergeCell ref="B47:J53"/>
    <mergeCell ref="L47:S47"/>
    <mergeCell ref="T47:U47"/>
    <mergeCell ref="L48:S48"/>
    <mergeCell ref="T48:U48"/>
    <mergeCell ref="L49:S49"/>
    <mergeCell ref="L53:S53"/>
    <mergeCell ref="T53:U53"/>
    <mergeCell ref="T49:U49"/>
    <mergeCell ref="L50:S50"/>
    <mergeCell ref="T50:U50"/>
    <mergeCell ref="L51:S51"/>
    <mergeCell ref="T51:U51"/>
    <mergeCell ref="L52:S52"/>
    <mergeCell ref="T52:U52"/>
  </mergeCells>
  <conditionalFormatting sqref="E5:AH44">
    <cfRule type="cellIs" dxfId="32" priority="1" operator="equal">
      <formula>"H"</formula>
    </cfRule>
    <cfRule type="cellIs" dxfId="31" priority="6" operator="equal">
      <formula>"I"</formula>
    </cfRule>
    <cfRule type="cellIs" dxfId="30" priority="7" operator="equal">
      <formula>"T"</formula>
    </cfRule>
    <cfRule type="cellIs" dxfId="29" priority="8" operator="equal">
      <formula>"A"</formula>
    </cfRule>
  </conditionalFormatting>
  <conditionalFormatting sqref="G2 K2 O2">
    <cfRule type="cellIs" dxfId="28" priority="2" operator="equal">
      <formula>"I"</formula>
    </cfRule>
    <cfRule type="cellIs" dxfId="27" priority="9" operator="equal">
      <formula>"H"</formula>
    </cfRule>
    <cfRule type="cellIs" dxfId="26" priority="10" operator="equal">
      <formula>"T"</formula>
    </cfRule>
    <cfRule type="cellIs" dxfId="25" priority="11" operator="equal">
      <formula>"A"</formula>
    </cfRule>
  </conditionalFormatting>
  <conditionalFormatting sqref="S2">
    <cfRule type="cellIs" dxfId="24" priority="3" operator="equal">
      <formula>"H"</formula>
    </cfRule>
    <cfRule type="cellIs" dxfId="23" priority="4" operator="equal">
      <formula>"T"</formula>
    </cfRule>
    <cfRule type="cellIs" dxfId="22" priority="5" operator="equal">
      <formula>"A"</formula>
    </cfRule>
  </conditionalFormatting>
  <pageMargins left="0.4" right="0.4" top="0.4" bottom="0.4" header="0" footer="0"/>
  <pageSetup paperSize="3" scale="42"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6CFB2-8B48-416F-A13D-F8F4C9BB4E30}">
  <sheetPr codeName="Sheet12">
    <tabColor rgb="FFE6D92E"/>
    <outlinePr summaryBelow="0" summaryRight="0"/>
    <pageSetUpPr fitToPage="1"/>
  </sheetPr>
  <dimension ref="A1:AJ650"/>
  <sheetViews>
    <sheetView showGridLines="0" topLeftCell="F42" zoomScaleNormal="100" workbookViewId="0">
      <selection activeCell="L53" sqref="L46:U53"/>
    </sheetView>
  </sheetViews>
  <sheetFormatPr defaultColWidth="14.453125" defaultRowHeight="15.75" customHeight="1" x14ac:dyDescent="0.25"/>
  <cols>
    <col min="1" max="1" width="3.36328125" style="1" customWidth="1"/>
    <col min="2" max="2" width="19.36328125" style="1" customWidth="1"/>
    <col min="3" max="4" width="14.81640625" style="1" customWidth="1"/>
    <col min="5" max="35" width="7.81640625" style="1" customWidth="1"/>
    <col min="36" max="36" width="3.36328125" style="1" customWidth="1"/>
    <col min="37" max="16384" width="14.453125" style="1"/>
  </cols>
  <sheetData>
    <row r="1" spans="1:36" ht="50" customHeight="1" thickBot="1" x14ac:dyDescent="0.4">
      <c r="A1" s="2"/>
      <c r="B1" s="20" t="s">
        <v>75</v>
      </c>
      <c r="C1" s="2"/>
      <c r="D1" s="3"/>
      <c r="E1" s="4"/>
      <c r="F1" s="2"/>
      <c r="G1" s="3"/>
      <c r="H1" s="3"/>
      <c r="I1" s="2"/>
      <c r="J1" s="2"/>
      <c r="K1" s="3"/>
      <c r="L1" s="3"/>
      <c r="M1" s="2"/>
      <c r="N1" s="2"/>
      <c r="O1" s="3"/>
      <c r="P1" s="3"/>
      <c r="R1" s="2"/>
      <c r="S1" s="3"/>
      <c r="T1" s="3"/>
      <c r="V1" s="2"/>
      <c r="X1" s="2"/>
      <c r="Y1" s="2"/>
      <c r="Z1" s="2"/>
      <c r="AA1" s="2"/>
      <c r="AB1" s="2"/>
      <c r="AC1" s="2"/>
      <c r="AD1" s="2"/>
      <c r="AE1" s="2"/>
      <c r="AF1" s="2"/>
      <c r="AH1" s="2"/>
      <c r="AI1" s="2"/>
      <c r="AJ1" s="2"/>
    </row>
    <row r="2" spans="1:36" ht="44" customHeight="1" x14ac:dyDescent="0.35">
      <c r="A2" s="2"/>
      <c r="B2" s="76" t="s">
        <v>3</v>
      </c>
      <c r="C2" s="76"/>
      <c r="D2" s="77"/>
      <c r="E2" s="42" t="s">
        <v>4</v>
      </c>
      <c r="F2" s="43"/>
      <c r="G2" s="21" t="s">
        <v>8</v>
      </c>
      <c r="I2" s="44" t="s">
        <v>5</v>
      </c>
      <c r="J2" s="45"/>
      <c r="K2" s="11" t="s">
        <v>9</v>
      </c>
      <c r="M2" s="46" t="s">
        <v>7</v>
      </c>
      <c r="N2" s="47"/>
      <c r="O2" s="12" t="s">
        <v>10</v>
      </c>
      <c r="Q2" s="46" t="s">
        <v>6</v>
      </c>
      <c r="R2" s="47"/>
      <c r="S2" s="12" t="s">
        <v>0</v>
      </c>
      <c r="T2" s="23"/>
      <c r="U2" s="40"/>
      <c r="V2" s="40"/>
      <c r="W2" s="40"/>
      <c r="X2" s="22"/>
      <c r="AC2" s="2"/>
      <c r="AD2" s="2"/>
      <c r="AE2" s="2"/>
      <c r="AF2" s="2"/>
      <c r="AG2" s="2"/>
      <c r="AH2" s="2"/>
      <c r="AI2" s="2"/>
      <c r="AJ2" s="2"/>
    </row>
    <row r="3" spans="1:36" ht="16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ht="25" customHeight="1" x14ac:dyDescent="0.35">
      <c r="A4" s="2"/>
      <c r="B4" s="25" t="s">
        <v>16</v>
      </c>
      <c r="C4" s="73" t="s">
        <v>76</v>
      </c>
      <c r="D4" s="74"/>
      <c r="E4" s="24">
        <v>1</v>
      </c>
      <c r="F4" s="24">
        <v>2</v>
      </c>
      <c r="G4" s="24">
        <v>3</v>
      </c>
      <c r="H4" s="24">
        <v>4</v>
      </c>
      <c r="I4" s="24">
        <v>5</v>
      </c>
      <c r="J4" s="24">
        <v>6</v>
      </c>
      <c r="K4" s="24">
        <v>7</v>
      </c>
      <c r="L4" s="24">
        <v>8</v>
      </c>
      <c r="M4" s="24">
        <v>9</v>
      </c>
      <c r="N4" s="24">
        <v>10</v>
      </c>
      <c r="O4" s="24">
        <v>11</v>
      </c>
      <c r="P4" s="24">
        <v>12</v>
      </c>
      <c r="Q4" s="24">
        <v>13</v>
      </c>
      <c r="R4" s="24">
        <v>14</v>
      </c>
      <c r="S4" s="24">
        <v>15</v>
      </c>
      <c r="T4" s="24">
        <v>16</v>
      </c>
      <c r="U4" s="24">
        <v>17</v>
      </c>
      <c r="V4" s="24">
        <v>18</v>
      </c>
      <c r="W4" s="24">
        <v>19</v>
      </c>
      <c r="X4" s="24">
        <v>20</v>
      </c>
      <c r="Y4" s="24">
        <v>21</v>
      </c>
      <c r="Z4" s="24">
        <v>22</v>
      </c>
      <c r="AA4" s="24">
        <v>23</v>
      </c>
      <c r="AB4" s="24">
        <v>24</v>
      </c>
      <c r="AC4" s="24">
        <v>25</v>
      </c>
      <c r="AD4" s="24">
        <v>26</v>
      </c>
      <c r="AE4" s="24">
        <v>27</v>
      </c>
      <c r="AF4" s="24">
        <v>28</v>
      </c>
      <c r="AG4" s="24">
        <v>29</v>
      </c>
      <c r="AH4" s="24">
        <v>30</v>
      </c>
      <c r="AI4" s="24">
        <v>31</v>
      </c>
      <c r="AJ4" s="2"/>
    </row>
    <row r="5" spans="1:36" ht="22" customHeight="1" x14ac:dyDescent="0.35">
      <c r="A5" s="2"/>
      <c r="B5" s="75" t="s">
        <v>22</v>
      </c>
      <c r="C5" s="75"/>
      <c r="D5" s="75"/>
      <c r="E5" s="16" t="s">
        <v>10</v>
      </c>
      <c r="F5" s="16" t="s">
        <v>0</v>
      </c>
      <c r="G5" s="17" t="s">
        <v>8</v>
      </c>
      <c r="H5" s="17" t="s">
        <v>8</v>
      </c>
      <c r="I5" s="17" t="s">
        <v>8</v>
      </c>
      <c r="J5" s="17" t="s">
        <v>8</v>
      </c>
      <c r="K5" s="17" t="s">
        <v>8</v>
      </c>
      <c r="L5" s="19" t="s">
        <v>8</v>
      </c>
      <c r="M5" s="19" t="s">
        <v>9</v>
      </c>
      <c r="N5" s="18" t="s">
        <v>9</v>
      </c>
      <c r="O5" s="18" t="s">
        <v>8</v>
      </c>
      <c r="P5" s="18" t="s">
        <v>9</v>
      </c>
      <c r="Q5" s="18" t="s">
        <v>8</v>
      </c>
      <c r="R5" s="18" t="s">
        <v>8</v>
      </c>
      <c r="S5" s="18" t="s">
        <v>8</v>
      </c>
      <c r="T5" s="18" t="s">
        <v>8</v>
      </c>
      <c r="U5" s="18" t="s">
        <v>9</v>
      </c>
      <c r="V5" s="18" t="s">
        <v>8</v>
      </c>
      <c r="W5" s="18" t="s">
        <v>8</v>
      </c>
      <c r="X5" s="18" t="s">
        <v>8</v>
      </c>
      <c r="Y5" s="18" t="s">
        <v>9</v>
      </c>
      <c r="Z5" s="18" t="s">
        <v>0</v>
      </c>
      <c r="AA5" s="18" t="s">
        <v>0</v>
      </c>
      <c r="AB5" s="18" t="s">
        <v>8</v>
      </c>
      <c r="AC5" s="18" t="s">
        <v>8</v>
      </c>
      <c r="AD5" s="18" t="s">
        <v>8</v>
      </c>
      <c r="AE5" s="18" t="s">
        <v>8</v>
      </c>
      <c r="AF5" s="18" t="s">
        <v>8</v>
      </c>
      <c r="AG5" s="18" t="s">
        <v>8</v>
      </c>
      <c r="AH5" s="18" t="s">
        <v>0</v>
      </c>
      <c r="AI5" s="18" t="s">
        <v>8</v>
      </c>
      <c r="AJ5" s="2"/>
    </row>
    <row r="6" spans="1:36" s="8" customFormat="1" ht="22" customHeight="1" thickBot="1" x14ac:dyDescent="0.3">
      <c r="A6" s="6"/>
      <c r="B6" s="65" t="s">
        <v>18</v>
      </c>
      <c r="C6" s="66"/>
      <c r="D6" s="7" t="s">
        <v>17</v>
      </c>
      <c r="E6" s="67" t="s">
        <v>11</v>
      </c>
      <c r="F6" s="68"/>
      <c r="G6" s="13">
        <f>COUNTIF(E5:AI5,"H")</f>
        <v>21</v>
      </c>
      <c r="H6" s="67" t="s">
        <v>12</v>
      </c>
      <c r="I6" s="68"/>
      <c r="J6" s="13">
        <f>COUNTIF(E5:AI5,"T")</f>
        <v>5</v>
      </c>
      <c r="K6" s="67" t="s">
        <v>13</v>
      </c>
      <c r="L6" s="68"/>
      <c r="M6" s="13">
        <f>COUNTIF(E5:AI5,"A") + COUNTIF(E5:AI5,"I")</f>
        <v>5</v>
      </c>
      <c r="N6" s="67" t="s">
        <v>14</v>
      </c>
      <c r="O6" s="68"/>
      <c r="P6" s="13">
        <f>IF((G6+J6+M6)=0,0,(G6+J6)/(G6+J6+M6)*100)</f>
        <v>83.870967741935488</v>
      </c>
      <c r="Q6" s="67"/>
      <c r="R6" s="68"/>
      <c r="S6" s="13"/>
      <c r="T6" s="67"/>
      <c r="U6" s="68"/>
      <c r="V6" s="14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6"/>
    </row>
    <row r="7" spans="1:36" ht="22" customHeight="1" x14ac:dyDescent="0.25">
      <c r="A7" s="5"/>
      <c r="B7" s="72" t="s">
        <v>23</v>
      </c>
      <c r="C7" s="72"/>
      <c r="D7" s="72"/>
      <c r="E7" s="16" t="s">
        <v>8</v>
      </c>
      <c r="F7" s="16" t="s">
        <v>0</v>
      </c>
      <c r="G7" s="17" t="s">
        <v>8</v>
      </c>
      <c r="H7" s="17" t="s">
        <v>8</v>
      </c>
      <c r="I7" s="17" t="s">
        <v>8</v>
      </c>
      <c r="J7" s="17" t="s">
        <v>8</v>
      </c>
      <c r="K7" s="17" t="s">
        <v>8</v>
      </c>
      <c r="L7" s="19" t="s">
        <v>8</v>
      </c>
      <c r="M7" s="19" t="s">
        <v>9</v>
      </c>
      <c r="N7" s="18" t="s">
        <v>9</v>
      </c>
      <c r="O7" s="18" t="s">
        <v>8</v>
      </c>
      <c r="P7" s="18" t="s">
        <v>9</v>
      </c>
      <c r="Q7" s="18" t="s">
        <v>8</v>
      </c>
      <c r="R7" s="18" t="s">
        <v>8</v>
      </c>
      <c r="S7" s="18" t="s">
        <v>8</v>
      </c>
      <c r="T7" s="18" t="s">
        <v>8</v>
      </c>
      <c r="U7" s="18" t="s">
        <v>9</v>
      </c>
      <c r="V7" s="18" t="s">
        <v>8</v>
      </c>
      <c r="W7" s="18" t="s">
        <v>8</v>
      </c>
      <c r="X7" s="18" t="s">
        <v>8</v>
      </c>
      <c r="Y7" s="18" t="s">
        <v>9</v>
      </c>
      <c r="Z7" s="18" t="s">
        <v>0</v>
      </c>
      <c r="AA7" s="18" t="s">
        <v>0</v>
      </c>
      <c r="AB7" s="18" t="s">
        <v>8</v>
      </c>
      <c r="AC7" s="18" t="s">
        <v>8</v>
      </c>
      <c r="AD7" s="18" t="s">
        <v>8</v>
      </c>
      <c r="AE7" s="18" t="s">
        <v>8</v>
      </c>
      <c r="AF7" s="18" t="s">
        <v>8</v>
      </c>
      <c r="AG7" s="18" t="s">
        <v>8</v>
      </c>
      <c r="AH7" s="18" t="s">
        <v>0</v>
      </c>
      <c r="AI7" s="18" t="s">
        <v>8</v>
      </c>
      <c r="AJ7" s="5"/>
    </row>
    <row r="8" spans="1:36" s="8" customFormat="1" ht="22" customHeight="1" thickBot="1" x14ac:dyDescent="0.3">
      <c r="A8" s="6"/>
      <c r="B8" s="65" t="s">
        <v>18</v>
      </c>
      <c r="C8" s="66"/>
      <c r="D8" s="7" t="s">
        <v>17</v>
      </c>
      <c r="E8" s="67" t="s">
        <v>11</v>
      </c>
      <c r="F8" s="68"/>
      <c r="G8" s="13">
        <f>COUNTIF(E7:AI7,"H")</f>
        <v>22</v>
      </c>
      <c r="H8" s="67" t="s">
        <v>12</v>
      </c>
      <c r="I8" s="68"/>
      <c r="J8" s="13">
        <f>COUNTIF(E7:AI7,"T")</f>
        <v>5</v>
      </c>
      <c r="K8" s="67" t="s">
        <v>13</v>
      </c>
      <c r="L8" s="68"/>
      <c r="M8" s="13">
        <f>COUNTIF(E7:AI7,"A") + COUNTIF(E7:AI7,"I")</f>
        <v>4</v>
      </c>
      <c r="N8" s="67" t="s">
        <v>14</v>
      </c>
      <c r="O8" s="68"/>
      <c r="P8" s="13">
        <f>IF((G8+J8+M8)=0,0,(G8+J8)/(G8+J8+M8)*100)</f>
        <v>87.096774193548384</v>
      </c>
      <c r="Q8" s="67"/>
      <c r="R8" s="68"/>
      <c r="S8" s="13"/>
      <c r="T8" s="67"/>
      <c r="U8" s="68"/>
      <c r="V8" s="14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6"/>
    </row>
    <row r="9" spans="1:36" ht="22" customHeight="1" x14ac:dyDescent="0.35">
      <c r="A9" s="2"/>
      <c r="B9" s="72" t="s">
        <v>24</v>
      </c>
      <c r="C9" s="72"/>
      <c r="D9" s="72"/>
      <c r="E9" s="16" t="s">
        <v>8</v>
      </c>
      <c r="F9" s="16" t="s">
        <v>8</v>
      </c>
      <c r="G9" s="17" t="s">
        <v>8</v>
      </c>
      <c r="H9" s="17" t="s">
        <v>8</v>
      </c>
      <c r="I9" s="17" t="s">
        <v>0</v>
      </c>
      <c r="J9" s="17" t="s">
        <v>8</v>
      </c>
      <c r="K9" s="17" t="s">
        <v>9</v>
      </c>
      <c r="L9" s="19" t="s">
        <v>8</v>
      </c>
      <c r="M9" s="19" t="s">
        <v>9</v>
      </c>
      <c r="N9" s="18" t="s">
        <v>8</v>
      </c>
      <c r="O9" s="18" t="s">
        <v>8</v>
      </c>
      <c r="P9" s="18" t="s">
        <v>9</v>
      </c>
      <c r="Q9" s="18" t="s">
        <v>8</v>
      </c>
      <c r="R9" s="18" t="s">
        <v>8</v>
      </c>
      <c r="S9" s="18" t="s">
        <v>9</v>
      </c>
      <c r="T9" s="18" t="s">
        <v>9</v>
      </c>
      <c r="U9" s="18" t="s">
        <v>9</v>
      </c>
      <c r="V9" s="18" t="s">
        <v>0</v>
      </c>
      <c r="W9" s="18" t="s">
        <v>8</v>
      </c>
      <c r="X9" s="18" t="s">
        <v>8</v>
      </c>
      <c r="Y9" s="18" t="s">
        <v>9</v>
      </c>
      <c r="Z9" s="18" t="s">
        <v>0</v>
      </c>
      <c r="AA9" s="18" t="s">
        <v>0</v>
      </c>
      <c r="AB9" s="18" t="s">
        <v>8</v>
      </c>
      <c r="AC9" s="18" t="s">
        <v>8</v>
      </c>
      <c r="AD9" s="18" t="s">
        <v>8</v>
      </c>
      <c r="AE9" s="18" t="s">
        <v>8</v>
      </c>
      <c r="AF9" s="18" t="s">
        <v>8</v>
      </c>
      <c r="AG9" s="18" t="s">
        <v>8</v>
      </c>
      <c r="AH9" s="18" t="s">
        <v>0</v>
      </c>
      <c r="AI9" s="18" t="s">
        <v>8</v>
      </c>
      <c r="AJ9" s="2"/>
    </row>
    <row r="10" spans="1:36" s="8" customFormat="1" ht="22" customHeight="1" thickBot="1" x14ac:dyDescent="0.3">
      <c r="A10" s="6"/>
      <c r="B10" s="65" t="s">
        <v>18</v>
      </c>
      <c r="C10" s="66"/>
      <c r="D10" s="7" t="s">
        <v>17</v>
      </c>
      <c r="E10" s="67" t="s">
        <v>11</v>
      </c>
      <c r="F10" s="68"/>
      <c r="G10" s="13">
        <f>COUNTIF(E9:AI9,"H")</f>
        <v>19</v>
      </c>
      <c r="H10" s="67" t="s">
        <v>12</v>
      </c>
      <c r="I10" s="68"/>
      <c r="J10" s="13">
        <f>COUNTIF(E9:AI9,"T")</f>
        <v>7</v>
      </c>
      <c r="K10" s="67" t="s">
        <v>13</v>
      </c>
      <c r="L10" s="68"/>
      <c r="M10" s="13">
        <f>COUNTIF(E9:AI9,"A") + COUNTIF(E9:AI9,"I")</f>
        <v>5</v>
      </c>
      <c r="N10" s="67" t="s">
        <v>14</v>
      </c>
      <c r="O10" s="68"/>
      <c r="P10" s="13">
        <f>IF((G10+J10+M10)=0,0,(G10+J10)/(G10+J10+M10)*100)</f>
        <v>83.870967741935488</v>
      </c>
      <c r="Q10" s="67"/>
      <c r="R10" s="68"/>
      <c r="S10" s="13"/>
      <c r="T10" s="67"/>
      <c r="U10" s="68"/>
      <c r="V10" s="14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6"/>
    </row>
    <row r="11" spans="1:36" s="10" customFormat="1" ht="22" customHeight="1" x14ac:dyDescent="0.25">
      <c r="A11" s="9"/>
      <c r="B11" s="72" t="s">
        <v>25</v>
      </c>
      <c r="C11" s="72"/>
      <c r="D11" s="72"/>
      <c r="E11" s="16" t="s">
        <v>8</v>
      </c>
      <c r="F11" s="16" t="s">
        <v>0</v>
      </c>
      <c r="G11" s="17" t="s">
        <v>8</v>
      </c>
      <c r="H11" s="17" t="s">
        <v>8</v>
      </c>
      <c r="I11" s="17" t="s">
        <v>8</v>
      </c>
      <c r="J11" s="17" t="s">
        <v>8</v>
      </c>
      <c r="K11" s="17" t="s">
        <v>8</v>
      </c>
      <c r="L11" s="19" t="s">
        <v>8</v>
      </c>
      <c r="M11" s="19" t="s">
        <v>8</v>
      </c>
      <c r="N11" s="18" t="s">
        <v>8</v>
      </c>
      <c r="O11" s="18" t="s">
        <v>8</v>
      </c>
      <c r="P11" s="18" t="s">
        <v>8</v>
      </c>
      <c r="Q11" s="18" t="s">
        <v>8</v>
      </c>
      <c r="R11" s="18" t="s">
        <v>8</v>
      </c>
      <c r="S11" s="18" t="s">
        <v>8</v>
      </c>
      <c r="T11" s="18" t="s">
        <v>8</v>
      </c>
      <c r="U11" s="18" t="s">
        <v>9</v>
      </c>
      <c r="V11" s="18" t="s">
        <v>8</v>
      </c>
      <c r="W11" s="18" t="s">
        <v>8</v>
      </c>
      <c r="X11" s="18" t="s">
        <v>8</v>
      </c>
      <c r="Y11" s="18" t="s">
        <v>8</v>
      </c>
      <c r="Z11" s="18" t="s">
        <v>8</v>
      </c>
      <c r="AA11" s="18" t="s">
        <v>8</v>
      </c>
      <c r="AB11" s="18" t="s">
        <v>8</v>
      </c>
      <c r="AC11" s="18" t="s">
        <v>8</v>
      </c>
      <c r="AD11" s="18" t="s">
        <v>8</v>
      </c>
      <c r="AE11" s="18" t="s">
        <v>8</v>
      </c>
      <c r="AF11" s="18" t="s">
        <v>8</v>
      </c>
      <c r="AG11" s="18" t="s">
        <v>8</v>
      </c>
      <c r="AH11" s="18" t="s">
        <v>0</v>
      </c>
      <c r="AI11" s="18" t="s">
        <v>8</v>
      </c>
      <c r="AJ11" s="9"/>
    </row>
    <row r="12" spans="1:36" s="8" customFormat="1" ht="22" customHeight="1" thickBot="1" x14ac:dyDescent="0.3">
      <c r="A12" s="6"/>
      <c r="B12" s="65" t="s">
        <v>18</v>
      </c>
      <c r="C12" s="66"/>
      <c r="D12" s="7" t="s">
        <v>17</v>
      </c>
      <c r="E12" s="67" t="s">
        <v>11</v>
      </c>
      <c r="F12" s="68"/>
      <c r="G12" s="13">
        <f>COUNTIF(E11:AI11,"H")</f>
        <v>28</v>
      </c>
      <c r="H12" s="67" t="s">
        <v>12</v>
      </c>
      <c r="I12" s="68"/>
      <c r="J12" s="13">
        <f>COUNTIF(E11:AI11,"T")</f>
        <v>1</v>
      </c>
      <c r="K12" s="67" t="s">
        <v>13</v>
      </c>
      <c r="L12" s="68"/>
      <c r="M12" s="13">
        <f>COUNTIF(E11:AI11,"A") + COUNTIF(E11:AI11,"I")</f>
        <v>2</v>
      </c>
      <c r="N12" s="67" t="s">
        <v>14</v>
      </c>
      <c r="O12" s="68"/>
      <c r="P12" s="13">
        <f>IF((G12+J12+M12)=0,0,(G12+J12)/(G12+J12+M12)*100)</f>
        <v>93.548387096774192</v>
      </c>
      <c r="Q12" s="67"/>
      <c r="R12" s="68"/>
      <c r="S12" s="13"/>
      <c r="T12" s="67"/>
      <c r="U12" s="68"/>
      <c r="V12" s="14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6"/>
    </row>
    <row r="13" spans="1:36" s="10" customFormat="1" ht="22" customHeight="1" x14ac:dyDescent="0.25">
      <c r="A13" s="9"/>
      <c r="B13" s="72" t="s">
        <v>26</v>
      </c>
      <c r="C13" s="72"/>
      <c r="D13" s="72"/>
      <c r="E13" s="16" t="s">
        <v>8</v>
      </c>
      <c r="F13" s="16" t="s">
        <v>8</v>
      </c>
      <c r="G13" s="17" t="s">
        <v>8</v>
      </c>
      <c r="H13" s="17" t="s">
        <v>8</v>
      </c>
      <c r="I13" s="17" t="s">
        <v>8</v>
      </c>
      <c r="J13" s="17" t="s">
        <v>0</v>
      </c>
      <c r="K13" s="17" t="s">
        <v>8</v>
      </c>
      <c r="L13" s="19" t="s">
        <v>8</v>
      </c>
      <c r="M13" s="19" t="s">
        <v>8</v>
      </c>
      <c r="N13" s="18" t="s">
        <v>8</v>
      </c>
      <c r="O13" s="18" t="s">
        <v>8</v>
      </c>
      <c r="P13" s="18" t="s">
        <v>9</v>
      </c>
      <c r="Q13" s="18" t="s">
        <v>8</v>
      </c>
      <c r="R13" s="18" t="s">
        <v>8</v>
      </c>
      <c r="S13" s="18" t="s">
        <v>8</v>
      </c>
      <c r="T13" s="18" t="s">
        <v>0</v>
      </c>
      <c r="U13" s="18" t="s">
        <v>9</v>
      </c>
      <c r="V13" s="18" t="s">
        <v>8</v>
      </c>
      <c r="W13" s="18" t="s">
        <v>8</v>
      </c>
      <c r="X13" s="18" t="s">
        <v>0</v>
      </c>
      <c r="Y13" s="18" t="s">
        <v>9</v>
      </c>
      <c r="Z13" s="18" t="s">
        <v>8</v>
      </c>
      <c r="AA13" s="18" t="s">
        <v>8</v>
      </c>
      <c r="AB13" s="18" t="s">
        <v>8</v>
      </c>
      <c r="AC13" s="18" t="s">
        <v>8</v>
      </c>
      <c r="AD13" s="18" t="s">
        <v>8</v>
      </c>
      <c r="AE13" s="18" t="s">
        <v>8</v>
      </c>
      <c r="AF13" s="18" t="s">
        <v>8</v>
      </c>
      <c r="AG13" s="18" t="s">
        <v>8</v>
      </c>
      <c r="AH13" s="18" t="s">
        <v>0</v>
      </c>
      <c r="AI13" s="18" t="s">
        <v>8</v>
      </c>
      <c r="AJ13" s="9"/>
    </row>
    <row r="14" spans="1:36" s="8" customFormat="1" ht="22" customHeight="1" thickBot="1" x14ac:dyDescent="0.3">
      <c r="A14" s="6"/>
      <c r="B14" s="65" t="s">
        <v>18</v>
      </c>
      <c r="C14" s="66"/>
      <c r="D14" s="7" t="s">
        <v>17</v>
      </c>
      <c r="E14" s="67" t="s">
        <v>11</v>
      </c>
      <c r="F14" s="68"/>
      <c r="G14" s="13">
        <f>COUNTIF(E13:AI13,"H")</f>
        <v>24</v>
      </c>
      <c r="H14" s="67" t="s">
        <v>12</v>
      </c>
      <c r="I14" s="68"/>
      <c r="J14" s="13">
        <f>COUNTIF(E13:AI13,"T")</f>
        <v>3</v>
      </c>
      <c r="K14" s="67" t="s">
        <v>13</v>
      </c>
      <c r="L14" s="68"/>
      <c r="M14" s="13">
        <f>COUNTIF(E13:AI13,"A") + COUNTIF(E13:AI13,"I")</f>
        <v>4</v>
      </c>
      <c r="N14" s="67" t="s">
        <v>14</v>
      </c>
      <c r="O14" s="68"/>
      <c r="P14" s="13">
        <f>IF((G14+J14+M14)=0,0,(G14+J14)/(G14+J14+M14)*100)</f>
        <v>87.096774193548384</v>
      </c>
      <c r="Q14" s="67"/>
      <c r="R14" s="68"/>
      <c r="S14" s="13"/>
      <c r="T14" s="67"/>
      <c r="U14" s="68"/>
      <c r="V14" s="14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6"/>
    </row>
    <row r="15" spans="1:36" s="10" customFormat="1" ht="22" customHeight="1" x14ac:dyDescent="0.25">
      <c r="A15" s="9"/>
      <c r="B15" s="72" t="s">
        <v>27</v>
      </c>
      <c r="C15" s="72"/>
      <c r="D15" s="72"/>
      <c r="E15" s="16" t="s">
        <v>8</v>
      </c>
      <c r="F15" s="16" t="s">
        <v>0</v>
      </c>
      <c r="G15" s="17" t="s">
        <v>8</v>
      </c>
      <c r="H15" s="17" t="s">
        <v>8</v>
      </c>
      <c r="I15" s="17" t="s">
        <v>8</v>
      </c>
      <c r="J15" s="17" t="s">
        <v>8</v>
      </c>
      <c r="K15" s="17" t="s">
        <v>8</v>
      </c>
      <c r="L15" s="19" t="s">
        <v>8</v>
      </c>
      <c r="M15" s="19" t="s">
        <v>9</v>
      </c>
      <c r="N15" s="18" t="s">
        <v>9</v>
      </c>
      <c r="O15" s="18" t="s">
        <v>8</v>
      </c>
      <c r="P15" s="18" t="s">
        <v>9</v>
      </c>
      <c r="Q15" s="18" t="s">
        <v>8</v>
      </c>
      <c r="R15" s="18" t="s">
        <v>8</v>
      </c>
      <c r="S15" s="18" t="s">
        <v>8</v>
      </c>
      <c r="T15" s="18" t="s">
        <v>8</v>
      </c>
      <c r="U15" s="18" t="s">
        <v>9</v>
      </c>
      <c r="V15" s="18" t="s">
        <v>8</v>
      </c>
      <c r="W15" s="18" t="s">
        <v>8</v>
      </c>
      <c r="X15" s="18" t="s">
        <v>8</v>
      </c>
      <c r="Y15" s="18" t="s">
        <v>9</v>
      </c>
      <c r="Z15" s="18" t="s">
        <v>0</v>
      </c>
      <c r="AA15" s="18" t="s">
        <v>0</v>
      </c>
      <c r="AB15" s="18" t="s">
        <v>8</v>
      </c>
      <c r="AC15" s="18" t="s">
        <v>8</v>
      </c>
      <c r="AD15" s="18" t="s">
        <v>8</v>
      </c>
      <c r="AE15" s="18" t="s">
        <v>8</v>
      </c>
      <c r="AF15" s="18" t="s">
        <v>8</v>
      </c>
      <c r="AG15" s="18" t="s">
        <v>8</v>
      </c>
      <c r="AH15" s="18" t="s">
        <v>0</v>
      </c>
      <c r="AI15" s="18" t="s">
        <v>8</v>
      </c>
      <c r="AJ15" s="9"/>
    </row>
    <row r="16" spans="1:36" s="8" customFormat="1" ht="22" customHeight="1" thickBot="1" x14ac:dyDescent="0.3">
      <c r="A16" s="6"/>
      <c r="B16" s="65" t="s">
        <v>18</v>
      </c>
      <c r="C16" s="66"/>
      <c r="D16" s="7" t="s">
        <v>17</v>
      </c>
      <c r="E16" s="67" t="s">
        <v>11</v>
      </c>
      <c r="F16" s="68"/>
      <c r="G16" s="13">
        <f>COUNTIF(E15:AI15,"H")</f>
        <v>22</v>
      </c>
      <c r="H16" s="67" t="s">
        <v>12</v>
      </c>
      <c r="I16" s="68"/>
      <c r="J16" s="13">
        <f>COUNTIF(E15:AI15,"T")</f>
        <v>5</v>
      </c>
      <c r="K16" s="67" t="s">
        <v>13</v>
      </c>
      <c r="L16" s="68"/>
      <c r="M16" s="13">
        <f>COUNTIF(E15:AI15,"A") + COUNTIF(E15:AI15,"I")</f>
        <v>4</v>
      </c>
      <c r="N16" s="67" t="s">
        <v>14</v>
      </c>
      <c r="O16" s="68"/>
      <c r="P16" s="13">
        <f>IF((G16+J16+M16)=0,0,(G16+J16)/(G16+J16+M16)*100)</f>
        <v>87.096774193548384</v>
      </c>
      <c r="Q16" s="67"/>
      <c r="R16" s="68"/>
      <c r="S16" s="13"/>
      <c r="T16" s="67"/>
      <c r="U16" s="68"/>
      <c r="V16" s="14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6"/>
    </row>
    <row r="17" spans="1:36" s="10" customFormat="1" ht="22" customHeight="1" x14ac:dyDescent="0.25">
      <c r="A17" s="9"/>
      <c r="B17" s="72" t="s">
        <v>28</v>
      </c>
      <c r="C17" s="72"/>
      <c r="D17" s="72"/>
      <c r="E17" s="16" t="s">
        <v>8</v>
      </c>
      <c r="F17" s="16" t="s">
        <v>0</v>
      </c>
      <c r="G17" s="17" t="s">
        <v>8</v>
      </c>
      <c r="H17" s="17" t="s">
        <v>8</v>
      </c>
      <c r="I17" s="17" t="s">
        <v>8</v>
      </c>
      <c r="J17" s="17" t="s">
        <v>8</v>
      </c>
      <c r="K17" s="17" t="s">
        <v>8</v>
      </c>
      <c r="L17" s="19" t="s">
        <v>8</v>
      </c>
      <c r="M17" s="19" t="s">
        <v>9</v>
      </c>
      <c r="N17" s="18" t="s">
        <v>9</v>
      </c>
      <c r="O17" s="18" t="s">
        <v>8</v>
      </c>
      <c r="P17" s="18" t="s">
        <v>9</v>
      </c>
      <c r="Q17" s="18" t="s">
        <v>8</v>
      </c>
      <c r="R17" s="18" t="s">
        <v>8</v>
      </c>
      <c r="S17" s="18" t="s">
        <v>8</v>
      </c>
      <c r="T17" s="18" t="s">
        <v>8</v>
      </c>
      <c r="U17" s="18" t="s">
        <v>9</v>
      </c>
      <c r="V17" s="18" t="s">
        <v>8</v>
      </c>
      <c r="W17" s="18" t="s">
        <v>8</v>
      </c>
      <c r="X17" s="18" t="s">
        <v>8</v>
      </c>
      <c r="Y17" s="18" t="s">
        <v>9</v>
      </c>
      <c r="Z17" s="18" t="s">
        <v>0</v>
      </c>
      <c r="AA17" s="18" t="s">
        <v>0</v>
      </c>
      <c r="AB17" s="18" t="s">
        <v>8</v>
      </c>
      <c r="AC17" s="18" t="s">
        <v>8</v>
      </c>
      <c r="AD17" s="18" t="s">
        <v>8</v>
      </c>
      <c r="AE17" s="18" t="s">
        <v>8</v>
      </c>
      <c r="AF17" s="18" t="s">
        <v>8</v>
      </c>
      <c r="AG17" s="18" t="s">
        <v>8</v>
      </c>
      <c r="AH17" s="18" t="s">
        <v>0</v>
      </c>
      <c r="AI17" s="18" t="s">
        <v>8</v>
      </c>
      <c r="AJ17" s="9"/>
    </row>
    <row r="18" spans="1:36" s="8" customFormat="1" ht="22" customHeight="1" thickBot="1" x14ac:dyDescent="0.3">
      <c r="A18" s="6"/>
      <c r="B18" s="65" t="s">
        <v>18</v>
      </c>
      <c r="C18" s="66"/>
      <c r="D18" s="7" t="s">
        <v>17</v>
      </c>
      <c r="E18" s="67" t="s">
        <v>11</v>
      </c>
      <c r="F18" s="68"/>
      <c r="G18" s="13">
        <f>COUNTIF(E17:AI17,"H")</f>
        <v>22</v>
      </c>
      <c r="H18" s="67" t="s">
        <v>12</v>
      </c>
      <c r="I18" s="68"/>
      <c r="J18" s="13">
        <f>COUNTIF(E17:AI17,"T")</f>
        <v>5</v>
      </c>
      <c r="K18" s="67" t="s">
        <v>13</v>
      </c>
      <c r="L18" s="68"/>
      <c r="M18" s="13">
        <f>COUNTIF(E17:AI17,"A") + COUNTIF(E17:AI17,"I")</f>
        <v>4</v>
      </c>
      <c r="N18" s="67" t="s">
        <v>14</v>
      </c>
      <c r="O18" s="68"/>
      <c r="P18" s="13">
        <f>IF((G18+J18+M18)=0,0,(G18+J18)/(G18+J18+M18)*100)</f>
        <v>87.096774193548384</v>
      </c>
      <c r="Q18" s="67"/>
      <c r="R18" s="68"/>
      <c r="S18" s="13"/>
      <c r="T18" s="67"/>
      <c r="U18" s="68"/>
      <c r="V18" s="14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6"/>
    </row>
    <row r="19" spans="1:36" s="10" customFormat="1" ht="22" customHeight="1" x14ac:dyDescent="0.25">
      <c r="A19" s="9"/>
      <c r="B19" s="72" t="s">
        <v>29</v>
      </c>
      <c r="C19" s="72"/>
      <c r="D19" s="72"/>
      <c r="E19" s="16" t="s">
        <v>8</v>
      </c>
      <c r="F19" s="16" t="s">
        <v>0</v>
      </c>
      <c r="G19" s="17" t="s">
        <v>8</v>
      </c>
      <c r="H19" s="17" t="s">
        <v>8</v>
      </c>
      <c r="I19" s="17" t="s">
        <v>8</v>
      </c>
      <c r="J19" s="17" t="s">
        <v>8</v>
      </c>
      <c r="K19" s="17" t="s">
        <v>8</v>
      </c>
      <c r="L19" s="19" t="s">
        <v>8</v>
      </c>
      <c r="M19" s="19" t="s">
        <v>9</v>
      </c>
      <c r="N19" s="18" t="s">
        <v>9</v>
      </c>
      <c r="O19" s="18" t="s">
        <v>8</v>
      </c>
      <c r="P19" s="18" t="s">
        <v>9</v>
      </c>
      <c r="Q19" s="18" t="s">
        <v>8</v>
      </c>
      <c r="R19" s="18" t="s">
        <v>8</v>
      </c>
      <c r="S19" s="18" t="s">
        <v>8</v>
      </c>
      <c r="T19" s="18" t="s">
        <v>8</v>
      </c>
      <c r="U19" s="18" t="s">
        <v>9</v>
      </c>
      <c r="V19" s="18" t="s">
        <v>8</v>
      </c>
      <c r="W19" s="18" t="s">
        <v>8</v>
      </c>
      <c r="X19" s="18" t="s">
        <v>8</v>
      </c>
      <c r="Y19" s="18" t="s">
        <v>9</v>
      </c>
      <c r="Z19" s="18" t="s">
        <v>0</v>
      </c>
      <c r="AA19" s="18" t="s">
        <v>0</v>
      </c>
      <c r="AB19" s="18" t="s">
        <v>8</v>
      </c>
      <c r="AC19" s="18" t="s">
        <v>8</v>
      </c>
      <c r="AD19" s="18" t="s">
        <v>8</v>
      </c>
      <c r="AE19" s="18" t="s">
        <v>8</v>
      </c>
      <c r="AF19" s="18" t="s">
        <v>8</v>
      </c>
      <c r="AG19" s="18" t="s">
        <v>8</v>
      </c>
      <c r="AH19" s="18" t="s">
        <v>0</v>
      </c>
      <c r="AI19" s="18" t="s">
        <v>8</v>
      </c>
      <c r="AJ19" s="9"/>
    </row>
    <row r="20" spans="1:36" s="8" customFormat="1" ht="22" customHeight="1" thickBot="1" x14ac:dyDescent="0.3">
      <c r="A20" s="6"/>
      <c r="B20" s="65" t="s">
        <v>18</v>
      </c>
      <c r="C20" s="66"/>
      <c r="D20" s="7" t="s">
        <v>17</v>
      </c>
      <c r="E20" s="67" t="s">
        <v>11</v>
      </c>
      <c r="F20" s="68"/>
      <c r="G20" s="13">
        <f>COUNTIF(E19:AI19,"H")</f>
        <v>22</v>
      </c>
      <c r="H20" s="67" t="s">
        <v>12</v>
      </c>
      <c r="I20" s="68"/>
      <c r="J20" s="13">
        <f>COUNTIF(E19:AI19,"T")</f>
        <v>5</v>
      </c>
      <c r="K20" s="67" t="s">
        <v>13</v>
      </c>
      <c r="L20" s="68"/>
      <c r="M20" s="13">
        <f>COUNTIF(E19:AI19,"A") + COUNTIF(E19:AI19,"I")</f>
        <v>4</v>
      </c>
      <c r="N20" s="67" t="s">
        <v>14</v>
      </c>
      <c r="O20" s="68"/>
      <c r="P20" s="13">
        <f>IF((G20+J20+M20)=0,0,(G20+J20)/(G20+J20+M20)*100)</f>
        <v>87.096774193548384</v>
      </c>
      <c r="Q20" s="67"/>
      <c r="R20" s="68"/>
      <c r="S20" s="13"/>
      <c r="T20" s="67"/>
      <c r="U20" s="68"/>
      <c r="V20" s="14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6"/>
    </row>
    <row r="21" spans="1:36" ht="22" customHeight="1" x14ac:dyDescent="0.35">
      <c r="A21" s="2"/>
      <c r="B21" s="72" t="s">
        <v>30</v>
      </c>
      <c r="C21" s="72"/>
      <c r="D21" s="72"/>
      <c r="E21" s="16" t="s">
        <v>8</v>
      </c>
      <c r="F21" s="16" t="s">
        <v>0</v>
      </c>
      <c r="G21" s="17" t="s">
        <v>8</v>
      </c>
      <c r="H21" s="17" t="s">
        <v>8</v>
      </c>
      <c r="I21" s="17" t="s">
        <v>8</v>
      </c>
      <c r="J21" s="17" t="s">
        <v>8</v>
      </c>
      <c r="K21" s="17" t="s">
        <v>8</v>
      </c>
      <c r="L21" s="19" t="s">
        <v>8</v>
      </c>
      <c r="M21" s="19" t="s">
        <v>9</v>
      </c>
      <c r="N21" s="18" t="s">
        <v>9</v>
      </c>
      <c r="O21" s="18" t="s">
        <v>8</v>
      </c>
      <c r="P21" s="18" t="s">
        <v>9</v>
      </c>
      <c r="Q21" s="18" t="s">
        <v>8</v>
      </c>
      <c r="R21" s="18" t="s">
        <v>8</v>
      </c>
      <c r="S21" s="18" t="s">
        <v>8</v>
      </c>
      <c r="T21" s="18" t="s">
        <v>8</v>
      </c>
      <c r="U21" s="18" t="s">
        <v>9</v>
      </c>
      <c r="V21" s="18" t="s">
        <v>8</v>
      </c>
      <c r="W21" s="18" t="s">
        <v>8</v>
      </c>
      <c r="X21" s="18" t="s">
        <v>8</v>
      </c>
      <c r="Y21" s="18" t="s">
        <v>9</v>
      </c>
      <c r="Z21" s="18" t="s">
        <v>0</v>
      </c>
      <c r="AA21" s="18" t="s">
        <v>0</v>
      </c>
      <c r="AB21" s="18" t="s">
        <v>8</v>
      </c>
      <c r="AC21" s="18" t="s">
        <v>8</v>
      </c>
      <c r="AD21" s="18" t="s">
        <v>8</v>
      </c>
      <c r="AE21" s="18" t="s">
        <v>8</v>
      </c>
      <c r="AF21" s="18" t="s">
        <v>8</v>
      </c>
      <c r="AG21" s="18" t="s">
        <v>8</v>
      </c>
      <c r="AH21" s="18" t="s">
        <v>0</v>
      </c>
      <c r="AI21" s="18" t="s">
        <v>8</v>
      </c>
      <c r="AJ21" s="2"/>
    </row>
    <row r="22" spans="1:36" s="8" customFormat="1" ht="22" customHeight="1" thickBot="1" x14ac:dyDescent="0.3">
      <c r="A22" s="6"/>
      <c r="B22" s="65" t="s">
        <v>18</v>
      </c>
      <c r="C22" s="66"/>
      <c r="D22" s="7" t="s">
        <v>17</v>
      </c>
      <c r="E22" s="67" t="s">
        <v>11</v>
      </c>
      <c r="F22" s="68"/>
      <c r="G22" s="13">
        <f>COUNTIF(E21:AI21,"H")</f>
        <v>22</v>
      </c>
      <c r="H22" s="67" t="s">
        <v>12</v>
      </c>
      <c r="I22" s="68"/>
      <c r="J22" s="13">
        <f>COUNTIF(E21:AI21,"T")</f>
        <v>5</v>
      </c>
      <c r="K22" s="67" t="s">
        <v>13</v>
      </c>
      <c r="L22" s="68"/>
      <c r="M22" s="13">
        <f>COUNTIF(E21:AI21,"A") + COUNTIF(E21:AI21,"I")</f>
        <v>4</v>
      </c>
      <c r="N22" s="67" t="s">
        <v>14</v>
      </c>
      <c r="O22" s="68"/>
      <c r="P22" s="13">
        <f>IF((G22+J22+M22)=0,0,(G22+J22)/(G22+J22+M22)*100)</f>
        <v>87.096774193548384</v>
      </c>
      <c r="Q22" s="67"/>
      <c r="R22" s="68"/>
      <c r="S22" s="13"/>
      <c r="T22" s="67"/>
      <c r="U22" s="68"/>
      <c r="V22" s="14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6"/>
    </row>
    <row r="23" spans="1:36" ht="22" customHeight="1" x14ac:dyDescent="0.35">
      <c r="A23" s="2"/>
      <c r="B23" s="72" t="s">
        <v>31</v>
      </c>
      <c r="C23" s="72"/>
      <c r="D23" s="72"/>
      <c r="E23" s="16" t="s">
        <v>8</v>
      </c>
      <c r="F23" s="16" t="s">
        <v>0</v>
      </c>
      <c r="G23" s="17" t="s">
        <v>8</v>
      </c>
      <c r="H23" s="17" t="s">
        <v>8</v>
      </c>
      <c r="I23" s="17" t="s">
        <v>8</v>
      </c>
      <c r="J23" s="17" t="s">
        <v>8</v>
      </c>
      <c r="K23" s="17" t="s">
        <v>8</v>
      </c>
      <c r="L23" s="19" t="s">
        <v>8</v>
      </c>
      <c r="M23" s="19" t="s">
        <v>9</v>
      </c>
      <c r="N23" s="18" t="s">
        <v>9</v>
      </c>
      <c r="O23" s="18" t="s">
        <v>8</v>
      </c>
      <c r="P23" s="18" t="s">
        <v>9</v>
      </c>
      <c r="Q23" s="18" t="s">
        <v>8</v>
      </c>
      <c r="R23" s="18" t="s">
        <v>8</v>
      </c>
      <c r="S23" s="18" t="s">
        <v>8</v>
      </c>
      <c r="T23" s="18" t="s">
        <v>8</v>
      </c>
      <c r="U23" s="18" t="s">
        <v>9</v>
      </c>
      <c r="V23" s="18" t="s">
        <v>8</v>
      </c>
      <c r="W23" s="18" t="s">
        <v>8</v>
      </c>
      <c r="X23" s="18" t="s">
        <v>8</v>
      </c>
      <c r="Y23" s="18" t="s">
        <v>9</v>
      </c>
      <c r="Z23" s="18" t="s">
        <v>0</v>
      </c>
      <c r="AA23" s="18" t="s">
        <v>0</v>
      </c>
      <c r="AB23" s="18" t="s">
        <v>8</v>
      </c>
      <c r="AC23" s="18" t="s">
        <v>8</v>
      </c>
      <c r="AD23" s="18" t="s">
        <v>8</v>
      </c>
      <c r="AE23" s="18" t="s">
        <v>8</v>
      </c>
      <c r="AF23" s="18" t="s">
        <v>8</v>
      </c>
      <c r="AG23" s="18" t="s">
        <v>8</v>
      </c>
      <c r="AH23" s="18" t="s">
        <v>0</v>
      </c>
      <c r="AI23" s="18" t="s">
        <v>8</v>
      </c>
      <c r="AJ23" s="2"/>
    </row>
    <row r="24" spans="1:36" s="8" customFormat="1" ht="22" customHeight="1" thickBot="1" x14ac:dyDescent="0.3">
      <c r="A24" s="6"/>
      <c r="B24" s="65" t="s">
        <v>18</v>
      </c>
      <c r="C24" s="66"/>
      <c r="D24" s="7" t="s">
        <v>17</v>
      </c>
      <c r="E24" s="67" t="s">
        <v>11</v>
      </c>
      <c r="F24" s="68"/>
      <c r="G24" s="13">
        <f>COUNTIF(E23:AI23,"H")</f>
        <v>22</v>
      </c>
      <c r="H24" s="67" t="s">
        <v>12</v>
      </c>
      <c r="I24" s="68"/>
      <c r="J24" s="13">
        <f>COUNTIF(E23:AI23,"T")</f>
        <v>5</v>
      </c>
      <c r="K24" s="67" t="s">
        <v>13</v>
      </c>
      <c r="L24" s="68"/>
      <c r="M24" s="13">
        <f>COUNTIF(E23:AI23,"A") + COUNTIF(E23:AI23,"I")</f>
        <v>4</v>
      </c>
      <c r="N24" s="67" t="s">
        <v>14</v>
      </c>
      <c r="O24" s="68"/>
      <c r="P24" s="13">
        <f>IF((G24+J24+M24)=0,0,(G24+J24)/(G24+J24+M24)*100)</f>
        <v>87.096774193548384</v>
      </c>
      <c r="Q24" s="67"/>
      <c r="R24" s="68"/>
      <c r="S24" s="13"/>
      <c r="T24" s="67"/>
      <c r="U24" s="68"/>
      <c r="V24" s="14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6"/>
    </row>
    <row r="25" spans="1:36" s="10" customFormat="1" ht="22" customHeight="1" x14ac:dyDescent="0.25">
      <c r="A25" s="9"/>
      <c r="B25" s="72" t="s">
        <v>32</v>
      </c>
      <c r="C25" s="72"/>
      <c r="D25" s="72"/>
      <c r="E25" s="16" t="s">
        <v>8</v>
      </c>
      <c r="F25" s="16" t="s">
        <v>0</v>
      </c>
      <c r="G25" s="17" t="s">
        <v>8</v>
      </c>
      <c r="H25" s="17" t="s">
        <v>8</v>
      </c>
      <c r="I25" s="17" t="s">
        <v>8</v>
      </c>
      <c r="J25" s="17" t="s">
        <v>8</v>
      </c>
      <c r="K25" s="17" t="s">
        <v>8</v>
      </c>
      <c r="L25" s="19" t="s">
        <v>8</v>
      </c>
      <c r="M25" s="19" t="s">
        <v>9</v>
      </c>
      <c r="N25" s="18" t="s">
        <v>9</v>
      </c>
      <c r="O25" s="18" t="s">
        <v>8</v>
      </c>
      <c r="P25" s="18" t="s">
        <v>9</v>
      </c>
      <c r="Q25" s="18" t="s">
        <v>8</v>
      </c>
      <c r="R25" s="18" t="s">
        <v>8</v>
      </c>
      <c r="S25" s="18" t="s">
        <v>8</v>
      </c>
      <c r="T25" s="18" t="s">
        <v>8</v>
      </c>
      <c r="U25" s="18" t="s">
        <v>9</v>
      </c>
      <c r="V25" s="18" t="s">
        <v>8</v>
      </c>
      <c r="W25" s="18" t="s">
        <v>8</v>
      </c>
      <c r="X25" s="18" t="s">
        <v>8</v>
      </c>
      <c r="Y25" s="18" t="s">
        <v>9</v>
      </c>
      <c r="Z25" s="18" t="s">
        <v>0</v>
      </c>
      <c r="AA25" s="18" t="s">
        <v>0</v>
      </c>
      <c r="AB25" s="18" t="s">
        <v>8</v>
      </c>
      <c r="AC25" s="18" t="s">
        <v>8</v>
      </c>
      <c r="AD25" s="18" t="s">
        <v>8</v>
      </c>
      <c r="AE25" s="18" t="s">
        <v>8</v>
      </c>
      <c r="AF25" s="18" t="s">
        <v>8</v>
      </c>
      <c r="AG25" s="18" t="s">
        <v>8</v>
      </c>
      <c r="AH25" s="18" t="s">
        <v>0</v>
      </c>
      <c r="AI25" s="18" t="s">
        <v>8</v>
      </c>
      <c r="AJ25" s="9"/>
    </row>
    <row r="26" spans="1:36" s="8" customFormat="1" ht="22" customHeight="1" thickBot="1" x14ac:dyDescent="0.3">
      <c r="A26" s="6"/>
      <c r="B26" s="65" t="s">
        <v>18</v>
      </c>
      <c r="C26" s="66"/>
      <c r="D26" s="7" t="s">
        <v>17</v>
      </c>
      <c r="E26" s="67" t="s">
        <v>11</v>
      </c>
      <c r="F26" s="68"/>
      <c r="G26" s="13">
        <f>COUNTIF(E25:AI25,"H")</f>
        <v>22</v>
      </c>
      <c r="H26" s="67" t="s">
        <v>12</v>
      </c>
      <c r="I26" s="68"/>
      <c r="J26" s="13">
        <f>COUNTIF(E25:AI25,"T")</f>
        <v>5</v>
      </c>
      <c r="K26" s="67" t="s">
        <v>13</v>
      </c>
      <c r="L26" s="68"/>
      <c r="M26" s="13">
        <f>COUNTIF(E25:AI25,"A") + COUNTIF(E25:AI25,"I")</f>
        <v>4</v>
      </c>
      <c r="N26" s="67" t="s">
        <v>14</v>
      </c>
      <c r="O26" s="68"/>
      <c r="P26" s="13">
        <f>IF((G26+J26+M26)=0,0,(G26+J26)/(G26+J26+M26)*100)</f>
        <v>87.096774193548384</v>
      </c>
      <c r="Q26" s="67"/>
      <c r="R26" s="68"/>
      <c r="S26" s="13"/>
      <c r="T26" s="67"/>
      <c r="U26" s="68"/>
      <c r="V26" s="14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6"/>
    </row>
    <row r="27" spans="1:36" ht="22" customHeight="1" x14ac:dyDescent="0.35">
      <c r="A27" s="2"/>
      <c r="B27" s="72" t="s">
        <v>33</v>
      </c>
      <c r="C27" s="72"/>
      <c r="D27" s="72"/>
      <c r="E27" s="16" t="s">
        <v>8</v>
      </c>
      <c r="F27" s="16" t="s">
        <v>0</v>
      </c>
      <c r="G27" s="17" t="s">
        <v>8</v>
      </c>
      <c r="H27" s="17" t="s">
        <v>8</v>
      </c>
      <c r="I27" s="17" t="s">
        <v>8</v>
      </c>
      <c r="J27" s="17" t="s">
        <v>8</v>
      </c>
      <c r="K27" s="17" t="s">
        <v>8</v>
      </c>
      <c r="L27" s="19" t="s">
        <v>8</v>
      </c>
      <c r="M27" s="19" t="s">
        <v>9</v>
      </c>
      <c r="N27" s="18" t="s">
        <v>9</v>
      </c>
      <c r="O27" s="18" t="s">
        <v>8</v>
      </c>
      <c r="P27" s="18" t="s">
        <v>9</v>
      </c>
      <c r="Q27" s="18" t="s">
        <v>8</v>
      </c>
      <c r="R27" s="18" t="s">
        <v>8</v>
      </c>
      <c r="S27" s="18" t="s">
        <v>8</v>
      </c>
      <c r="T27" s="18" t="s">
        <v>8</v>
      </c>
      <c r="U27" s="18" t="s">
        <v>9</v>
      </c>
      <c r="V27" s="18" t="s">
        <v>8</v>
      </c>
      <c r="W27" s="18" t="s">
        <v>8</v>
      </c>
      <c r="X27" s="18" t="s">
        <v>8</v>
      </c>
      <c r="Y27" s="18" t="s">
        <v>9</v>
      </c>
      <c r="Z27" s="18" t="s">
        <v>0</v>
      </c>
      <c r="AA27" s="18" t="s">
        <v>0</v>
      </c>
      <c r="AB27" s="18" t="s">
        <v>8</v>
      </c>
      <c r="AC27" s="18" t="s">
        <v>8</v>
      </c>
      <c r="AD27" s="18" t="s">
        <v>8</v>
      </c>
      <c r="AE27" s="18" t="s">
        <v>8</v>
      </c>
      <c r="AF27" s="18" t="s">
        <v>8</v>
      </c>
      <c r="AG27" s="18" t="s">
        <v>8</v>
      </c>
      <c r="AH27" s="18" t="s">
        <v>0</v>
      </c>
      <c r="AI27" s="18" t="s">
        <v>8</v>
      </c>
      <c r="AJ27" s="2"/>
    </row>
    <row r="28" spans="1:36" s="8" customFormat="1" ht="22" customHeight="1" thickBot="1" x14ac:dyDescent="0.3">
      <c r="A28" s="6"/>
      <c r="B28" s="65" t="s">
        <v>18</v>
      </c>
      <c r="C28" s="66"/>
      <c r="D28" s="7" t="s">
        <v>17</v>
      </c>
      <c r="E28" s="67" t="s">
        <v>11</v>
      </c>
      <c r="F28" s="68"/>
      <c r="G28" s="13">
        <f>COUNTIF(E27:AI27,"H")</f>
        <v>22</v>
      </c>
      <c r="H28" s="67" t="s">
        <v>12</v>
      </c>
      <c r="I28" s="68"/>
      <c r="J28" s="13">
        <f>COUNTIF(E27:AI27,"T")</f>
        <v>5</v>
      </c>
      <c r="K28" s="67" t="s">
        <v>13</v>
      </c>
      <c r="L28" s="68"/>
      <c r="M28" s="13">
        <f>COUNTIF(E27:AI27,"A") + COUNTIF(E27:AI27,"I")</f>
        <v>4</v>
      </c>
      <c r="N28" s="67" t="s">
        <v>14</v>
      </c>
      <c r="O28" s="68"/>
      <c r="P28" s="13">
        <f>IF((G28+J28+M28)=0,0,(G28+J28)/(G28+J28+M28)*100)</f>
        <v>87.096774193548384</v>
      </c>
      <c r="Q28" s="67"/>
      <c r="R28" s="68"/>
      <c r="S28" s="13"/>
      <c r="T28" s="67"/>
      <c r="U28" s="68"/>
      <c r="V28" s="14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6"/>
    </row>
    <row r="29" spans="1:36" s="10" customFormat="1" ht="22" customHeight="1" x14ac:dyDescent="0.25">
      <c r="A29" s="9"/>
      <c r="B29" s="72" t="s">
        <v>34</v>
      </c>
      <c r="C29" s="72"/>
      <c r="D29" s="72"/>
      <c r="E29" s="16" t="s">
        <v>8</v>
      </c>
      <c r="F29" s="16" t="s">
        <v>0</v>
      </c>
      <c r="G29" s="17" t="s">
        <v>8</v>
      </c>
      <c r="H29" s="17" t="s">
        <v>8</v>
      </c>
      <c r="I29" s="17" t="s">
        <v>8</v>
      </c>
      <c r="J29" s="17" t="s">
        <v>8</v>
      </c>
      <c r="K29" s="17" t="s">
        <v>8</v>
      </c>
      <c r="L29" s="19" t="s">
        <v>8</v>
      </c>
      <c r="M29" s="19" t="s">
        <v>9</v>
      </c>
      <c r="N29" s="18" t="s">
        <v>9</v>
      </c>
      <c r="O29" s="18" t="s">
        <v>8</v>
      </c>
      <c r="P29" s="18" t="s">
        <v>9</v>
      </c>
      <c r="Q29" s="18" t="s">
        <v>8</v>
      </c>
      <c r="R29" s="18" t="s">
        <v>8</v>
      </c>
      <c r="S29" s="18" t="s">
        <v>8</v>
      </c>
      <c r="T29" s="18" t="s">
        <v>8</v>
      </c>
      <c r="U29" s="18" t="s">
        <v>9</v>
      </c>
      <c r="V29" s="18" t="s">
        <v>8</v>
      </c>
      <c r="W29" s="18" t="s">
        <v>8</v>
      </c>
      <c r="X29" s="18" t="s">
        <v>8</v>
      </c>
      <c r="Y29" s="18" t="s">
        <v>9</v>
      </c>
      <c r="Z29" s="18" t="s">
        <v>0</v>
      </c>
      <c r="AA29" s="18" t="s">
        <v>0</v>
      </c>
      <c r="AB29" s="18" t="s">
        <v>8</v>
      </c>
      <c r="AC29" s="18" t="s">
        <v>8</v>
      </c>
      <c r="AD29" s="18" t="s">
        <v>8</v>
      </c>
      <c r="AE29" s="18" t="s">
        <v>8</v>
      </c>
      <c r="AF29" s="18" t="s">
        <v>8</v>
      </c>
      <c r="AG29" s="18" t="s">
        <v>8</v>
      </c>
      <c r="AH29" s="18" t="s">
        <v>0</v>
      </c>
      <c r="AI29" s="18" t="s">
        <v>8</v>
      </c>
      <c r="AJ29" s="9"/>
    </row>
    <row r="30" spans="1:36" s="8" customFormat="1" ht="22" customHeight="1" thickBot="1" x14ac:dyDescent="0.3">
      <c r="A30" s="6"/>
      <c r="B30" s="65" t="s">
        <v>18</v>
      </c>
      <c r="C30" s="66"/>
      <c r="D30" s="7" t="s">
        <v>17</v>
      </c>
      <c r="E30" s="67" t="s">
        <v>11</v>
      </c>
      <c r="F30" s="68"/>
      <c r="G30" s="13">
        <f>COUNTIF(E29:AI29,"H")</f>
        <v>22</v>
      </c>
      <c r="H30" s="67" t="s">
        <v>12</v>
      </c>
      <c r="I30" s="68"/>
      <c r="J30" s="13">
        <f>COUNTIF(E29:AI29,"T")</f>
        <v>5</v>
      </c>
      <c r="K30" s="67" t="s">
        <v>13</v>
      </c>
      <c r="L30" s="68"/>
      <c r="M30" s="13">
        <f>COUNTIF(E29:AI29,"A") + COUNTIF(E29:AI29,"I")</f>
        <v>4</v>
      </c>
      <c r="N30" s="67" t="s">
        <v>14</v>
      </c>
      <c r="O30" s="68"/>
      <c r="P30" s="13">
        <f>IF((G30+J30+M30)=0,0,(G30+J30)/(G30+J30+M30)*100)</f>
        <v>87.096774193548384</v>
      </c>
      <c r="Q30" s="67"/>
      <c r="R30" s="68"/>
      <c r="S30" s="13"/>
      <c r="T30" s="67"/>
      <c r="U30" s="68"/>
      <c r="V30" s="14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6"/>
    </row>
    <row r="31" spans="1:36" ht="22" customHeight="1" x14ac:dyDescent="0.35">
      <c r="A31" s="2"/>
      <c r="B31" s="72" t="s">
        <v>35</v>
      </c>
      <c r="C31" s="72"/>
      <c r="D31" s="72"/>
      <c r="E31" s="16" t="s">
        <v>8</v>
      </c>
      <c r="F31" s="16" t="s">
        <v>0</v>
      </c>
      <c r="G31" s="17" t="s">
        <v>8</v>
      </c>
      <c r="H31" s="17" t="s">
        <v>8</v>
      </c>
      <c r="I31" s="17" t="s">
        <v>8</v>
      </c>
      <c r="J31" s="17" t="s">
        <v>8</v>
      </c>
      <c r="K31" s="17" t="s">
        <v>8</v>
      </c>
      <c r="L31" s="19" t="s">
        <v>8</v>
      </c>
      <c r="M31" s="19" t="s">
        <v>9</v>
      </c>
      <c r="N31" s="18" t="s">
        <v>9</v>
      </c>
      <c r="O31" s="18" t="s">
        <v>8</v>
      </c>
      <c r="P31" s="18" t="s">
        <v>9</v>
      </c>
      <c r="Q31" s="18" t="s">
        <v>8</v>
      </c>
      <c r="R31" s="18" t="s">
        <v>8</v>
      </c>
      <c r="S31" s="18" t="s">
        <v>8</v>
      </c>
      <c r="T31" s="18" t="s">
        <v>8</v>
      </c>
      <c r="U31" s="18" t="s">
        <v>9</v>
      </c>
      <c r="V31" s="18" t="s">
        <v>8</v>
      </c>
      <c r="W31" s="18" t="s">
        <v>8</v>
      </c>
      <c r="X31" s="18" t="s">
        <v>8</v>
      </c>
      <c r="Y31" s="18" t="s">
        <v>9</v>
      </c>
      <c r="Z31" s="18" t="s">
        <v>0</v>
      </c>
      <c r="AA31" s="18" t="s">
        <v>0</v>
      </c>
      <c r="AB31" s="18" t="s">
        <v>8</v>
      </c>
      <c r="AC31" s="18" t="s">
        <v>8</v>
      </c>
      <c r="AD31" s="18" t="s">
        <v>8</v>
      </c>
      <c r="AE31" s="18" t="s">
        <v>8</v>
      </c>
      <c r="AF31" s="18" t="s">
        <v>8</v>
      </c>
      <c r="AG31" s="18" t="s">
        <v>8</v>
      </c>
      <c r="AH31" s="18" t="s">
        <v>0</v>
      </c>
      <c r="AI31" s="18" t="s">
        <v>8</v>
      </c>
      <c r="AJ31" s="2"/>
    </row>
    <row r="32" spans="1:36" s="8" customFormat="1" ht="22" customHeight="1" thickBot="1" x14ac:dyDescent="0.3">
      <c r="A32" s="6"/>
      <c r="B32" s="65" t="s">
        <v>18</v>
      </c>
      <c r="C32" s="66"/>
      <c r="D32" s="7" t="s">
        <v>17</v>
      </c>
      <c r="E32" s="67" t="s">
        <v>11</v>
      </c>
      <c r="F32" s="68"/>
      <c r="G32" s="13">
        <f>COUNTIF(E31:AI31,"H")</f>
        <v>22</v>
      </c>
      <c r="H32" s="67" t="s">
        <v>12</v>
      </c>
      <c r="I32" s="68"/>
      <c r="J32" s="13">
        <f>COUNTIF(E31:AI31,"T")</f>
        <v>5</v>
      </c>
      <c r="K32" s="67" t="s">
        <v>13</v>
      </c>
      <c r="L32" s="68"/>
      <c r="M32" s="13">
        <f>COUNTIF(E31:AI31,"A") + COUNTIF(E31:AI31,"I")</f>
        <v>4</v>
      </c>
      <c r="N32" s="67" t="s">
        <v>14</v>
      </c>
      <c r="O32" s="68"/>
      <c r="P32" s="13">
        <f>IF((G32+J32+M32)=0,0,(G32+J32)/(G32+J32+M32)*100)</f>
        <v>87.096774193548384</v>
      </c>
      <c r="Q32" s="67"/>
      <c r="R32" s="68"/>
      <c r="S32" s="13"/>
      <c r="T32" s="67"/>
      <c r="U32" s="68"/>
      <c r="V32" s="14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6"/>
    </row>
    <row r="33" spans="1:36" ht="22" customHeight="1" x14ac:dyDescent="0.35">
      <c r="A33" s="2"/>
      <c r="B33" s="72" t="s">
        <v>36</v>
      </c>
      <c r="C33" s="72"/>
      <c r="D33" s="72"/>
      <c r="E33" s="16" t="s">
        <v>8</v>
      </c>
      <c r="F33" s="16" t="s">
        <v>0</v>
      </c>
      <c r="G33" s="17" t="s">
        <v>8</v>
      </c>
      <c r="H33" s="17" t="s">
        <v>8</v>
      </c>
      <c r="I33" s="17" t="s">
        <v>8</v>
      </c>
      <c r="J33" s="17" t="s">
        <v>8</v>
      </c>
      <c r="K33" s="17" t="s">
        <v>8</v>
      </c>
      <c r="L33" s="19" t="s">
        <v>8</v>
      </c>
      <c r="M33" s="19" t="s">
        <v>9</v>
      </c>
      <c r="N33" s="18" t="s">
        <v>9</v>
      </c>
      <c r="O33" s="18" t="s">
        <v>8</v>
      </c>
      <c r="P33" s="18" t="s">
        <v>9</v>
      </c>
      <c r="Q33" s="18" t="s">
        <v>8</v>
      </c>
      <c r="R33" s="18" t="s">
        <v>8</v>
      </c>
      <c r="S33" s="18" t="s">
        <v>8</v>
      </c>
      <c r="T33" s="18" t="s">
        <v>8</v>
      </c>
      <c r="U33" s="18" t="s">
        <v>9</v>
      </c>
      <c r="V33" s="18" t="s">
        <v>8</v>
      </c>
      <c r="W33" s="18" t="s">
        <v>8</v>
      </c>
      <c r="X33" s="18" t="s">
        <v>8</v>
      </c>
      <c r="Y33" s="18" t="s">
        <v>9</v>
      </c>
      <c r="Z33" s="18" t="s">
        <v>0</v>
      </c>
      <c r="AA33" s="18" t="s">
        <v>0</v>
      </c>
      <c r="AB33" s="18" t="s">
        <v>8</v>
      </c>
      <c r="AC33" s="18" t="s">
        <v>8</v>
      </c>
      <c r="AD33" s="18" t="s">
        <v>8</v>
      </c>
      <c r="AE33" s="18" t="s">
        <v>8</v>
      </c>
      <c r="AF33" s="18" t="s">
        <v>8</v>
      </c>
      <c r="AG33" s="18" t="s">
        <v>8</v>
      </c>
      <c r="AH33" s="18" t="s">
        <v>0</v>
      </c>
      <c r="AI33" s="18" t="s">
        <v>8</v>
      </c>
      <c r="AJ33" s="2"/>
    </row>
    <row r="34" spans="1:36" s="8" customFormat="1" ht="22" customHeight="1" thickBot="1" x14ac:dyDescent="0.3">
      <c r="A34" s="6"/>
      <c r="B34" s="65" t="s">
        <v>18</v>
      </c>
      <c r="C34" s="66"/>
      <c r="D34" s="7" t="s">
        <v>17</v>
      </c>
      <c r="E34" s="67" t="s">
        <v>11</v>
      </c>
      <c r="F34" s="68"/>
      <c r="G34" s="13">
        <f>COUNTIF(E33:AI33,"H")</f>
        <v>22</v>
      </c>
      <c r="H34" s="67" t="s">
        <v>12</v>
      </c>
      <c r="I34" s="68"/>
      <c r="J34" s="13">
        <f>COUNTIF(E33:AI33,"T")</f>
        <v>5</v>
      </c>
      <c r="K34" s="67" t="s">
        <v>13</v>
      </c>
      <c r="L34" s="68"/>
      <c r="M34" s="13">
        <f>COUNTIF(E33:AI33,"A") + COUNTIF(E33:AI33,"I")</f>
        <v>4</v>
      </c>
      <c r="N34" s="67" t="s">
        <v>14</v>
      </c>
      <c r="O34" s="68"/>
      <c r="P34" s="13">
        <f>IF((G34+J34+M34)=0,0,(G34+J34)/(G34+J34+M34)*100)</f>
        <v>87.096774193548384</v>
      </c>
      <c r="Q34" s="67"/>
      <c r="R34" s="68"/>
      <c r="S34" s="13"/>
      <c r="T34" s="67"/>
      <c r="U34" s="68"/>
      <c r="V34" s="14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6"/>
    </row>
    <row r="35" spans="1:36" s="10" customFormat="1" ht="22" customHeight="1" x14ac:dyDescent="0.25">
      <c r="A35" s="9"/>
      <c r="B35" s="69" t="s">
        <v>37</v>
      </c>
      <c r="C35" s="70"/>
      <c r="D35" s="71"/>
      <c r="E35" s="16" t="s">
        <v>8</v>
      </c>
      <c r="F35" s="16" t="s">
        <v>0</v>
      </c>
      <c r="G35" s="17" t="s">
        <v>8</v>
      </c>
      <c r="H35" s="17" t="s">
        <v>8</v>
      </c>
      <c r="I35" s="17" t="s">
        <v>8</v>
      </c>
      <c r="J35" s="17" t="s">
        <v>8</v>
      </c>
      <c r="K35" s="17" t="s">
        <v>8</v>
      </c>
      <c r="L35" s="19" t="s">
        <v>8</v>
      </c>
      <c r="M35" s="19" t="s">
        <v>9</v>
      </c>
      <c r="N35" s="18" t="s">
        <v>9</v>
      </c>
      <c r="O35" s="18" t="s">
        <v>8</v>
      </c>
      <c r="P35" s="18" t="s">
        <v>9</v>
      </c>
      <c r="Q35" s="18" t="s">
        <v>8</v>
      </c>
      <c r="R35" s="18" t="s">
        <v>8</v>
      </c>
      <c r="S35" s="18" t="s">
        <v>8</v>
      </c>
      <c r="T35" s="18" t="s">
        <v>8</v>
      </c>
      <c r="U35" s="18" t="s">
        <v>9</v>
      </c>
      <c r="V35" s="18" t="s">
        <v>8</v>
      </c>
      <c r="W35" s="18" t="s">
        <v>8</v>
      </c>
      <c r="X35" s="18" t="s">
        <v>8</v>
      </c>
      <c r="Y35" s="18" t="s">
        <v>9</v>
      </c>
      <c r="Z35" s="18" t="s">
        <v>0</v>
      </c>
      <c r="AA35" s="18" t="s">
        <v>0</v>
      </c>
      <c r="AB35" s="18" t="s">
        <v>8</v>
      </c>
      <c r="AC35" s="18" t="s">
        <v>8</v>
      </c>
      <c r="AD35" s="18" t="s">
        <v>8</v>
      </c>
      <c r="AE35" s="18" t="s">
        <v>8</v>
      </c>
      <c r="AF35" s="18" t="s">
        <v>8</v>
      </c>
      <c r="AG35" s="18" t="s">
        <v>8</v>
      </c>
      <c r="AH35" s="18" t="s">
        <v>0</v>
      </c>
      <c r="AI35" s="18" t="s">
        <v>8</v>
      </c>
      <c r="AJ35" s="9"/>
    </row>
    <row r="36" spans="1:36" s="8" customFormat="1" ht="22" customHeight="1" thickBot="1" x14ac:dyDescent="0.3">
      <c r="A36" s="6"/>
      <c r="B36" s="65" t="s">
        <v>18</v>
      </c>
      <c r="C36" s="66"/>
      <c r="D36" s="7" t="s">
        <v>17</v>
      </c>
      <c r="E36" s="67" t="s">
        <v>11</v>
      </c>
      <c r="F36" s="68"/>
      <c r="G36" s="13">
        <f>COUNTIF(E35:AI35,"H")</f>
        <v>22</v>
      </c>
      <c r="H36" s="67" t="s">
        <v>12</v>
      </c>
      <c r="I36" s="68"/>
      <c r="J36" s="13">
        <f>COUNTIF(E35:AI35,"T")</f>
        <v>5</v>
      </c>
      <c r="K36" s="67" t="s">
        <v>13</v>
      </c>
      <c r="L36" s="68"/>
      <c r="M36" s="13">
        <f>COUNTIF(E35:AI35,"A") + COUNTIF(E35:AI35,"I")</f>
        <v>4</v>
      </c>
      <c r="N36" s="67" t="s">
        <v>14</v>
      </c>
      <c r="O36" s="68"/>
      <c r="P36" s="13">
        <f>IF((G36+J36+M36)=0,0,(G36+J36)/(G36+J36+M36)*100)</f>
        <v>87.096774193548384</v>
      </c>
      <c r="Q36" s="67"/>
      <c r="R36" s="68"/>
      <c r="S36" s="13"/>
      <c r="T36" s="67"/>
      <c r="U36" s="68"/>
      <c r="V36" s="14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6"/>
    </row>
    <row r="37" spans="1:36" s="10" customFormat="1" ht="22" customHeight="1" x14ac:dyDescent="0.25">
      <c r="A37" s="9"/>
      <c r="B37" s="69" t="s">
        <v>38</v>
      </c>
      <c r="C37" s="70"/>
      <c r="D37" s="71"/>
      <c r="E37" s="16" t="s">
        <v>8</v>
      </c>
      <c r="F37" s="16" t="s">
        <v>0</v>
      </c>
      <c r="G37" s="17" t="s">
        <v>8</v>
      </c>
      <c r="H37" s="17" t="s">
        <v>8</v>
      </c>
      <c r="I37" s="17" t="s">
        <v>8</v>
      </c>
      <c r="J37" s="17" t="s">
        <v>8</v>
      </c>
      <c r="K37" s="17" t="s">
        <v>8</v>
      </c>
      <c r="L37" s="19" t="s">
        <v>8</v>
      </c>
      <c r="M37" s="19" t="s">
        <v>9</v>
      </c>
      <c r="N37" s="18" t="s">
        <v>9</v>
      </c>
      <c r="O37" s="18" t="s">
        <v>8</v>
      </c>
      <c r="P37" s="18" t="s">
        <v>9</v>
      </c>
      <c r="Q37" s="18" t="s">
        <v>8</v>
      </c>
      <c r="R37" s="18" t="s">
        <v>8</v>
      </c>
      <c r="S37" s="18" t="s">
        <v>8</v>
      </c>
      <c r="T37" s="18" t="s">
        <v>8</v>
      </c>
      <c r="U37" s="18" t="s">
        <v>9</v>
      </c>
      <c r="V37" s="18" t="s">
        <v>8</v>
      </c>
      <c r="W37" s="18" t="s">
        <v>8</v>
      </c>
      <c r="X37" s="18" t="s">
        <v>8</v>
      </c>
      <c r="Y37" s="18" t="s">
        <v>9</v>
      </c>
      <c r="Z37" s="18" t="s">
        <v>0</v>
      </c>
      <c r="AA37" s="18" t="s">
        <v>0</v>
      </c>
      <c r="AB37" s="18" t="s">
        <v>8</v>
      </c>
      <c r="AC37" s="18" t="s">
        <v>8</v>
      </c>
      <c r="AD37" s="18" t="s">
        <v>8</v>
      </c>
      <c r="AE37" s="18" t="s">
        <v>8</v>
      </c>
      <c r="AF37" s="18" t="s">
        <v>8</v>
      </c>
      <c r="AG37" s="18" t="s">
        <v>8</v>
      </c>
      <c r="AH37" s="18" t="s">
        <v>0</v>
      </c>
      <c r="AI37" s="18" t="s">
        <v>8</v>
      </c>
      <c r="AJ37" s="9"/>
    </row>
    <row r="38" spans="1:36" s="8" customFormat="1" ht="22" customHeight="1" thickBot="1" x14ac:dyDescent="0.3">
      <c r="A38" s="6"/>
      <c r="B38" s="65" t="s">
        <v>18</v>
      </c>
      <c r="C38" s="66"/>
      <c r="D38" s="7" t="s">
        <v>17</v>
      </c>
      <c r="E38" s="67" t="s">
        <v>11</v>
      </c>
      <c r="F38" s="68"/>
      <c r="G38" s="13">
        <f>COUNTIF(E37:AI37,"H")</f>
        <v>22</v>
      </c>
      <c r="H38" s="67" t="s">
        <v>12</v>
      </c>
      <c r="I38" s="68"/>
      <c r="J38" s="13">
        <f>COUNTIF(E37:AI37,"T")</f>
        <v>5</v>
      </c>
      <c r="K38" s="67" t="s">
        <v>13</v>
      </c>
      <c r="L38" s="68"/>
      <c r="M38" s="13">
        <f>COUNTIF(E37:AI37,"A") + COUNTIF(E37:AI37,"I")</f>
        <v>4</v>
      </c>
      <c r="N38" s="67" t="s">
        <v>14</v>
      </c>
      <c r="O38" s="68"/>
      <c r="P38" s="13">
        <f>IF((G38+J38+M38)=0,0,(G38+J38)/(G38+J38+M38)*100)</f>
        <v>87.096774193548384</v>
      </c>
      <c r="Q38" s="67"/>
      <c r="R38" s="68"/>
      <c r="S38" s="13"/>
      <c r="T38" s="67"/>
      <c r="U38" s="68"/>
      <c r="V38" s="14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6"/>
    </row>
    <row r="39" spans="1:36" s="10" customFormat="1" ht="22" customHeight="1" x14ac:dyDescent="0.25">
      <c r="A39" s="9"/>
      <c r="B39" s="69" t="s">
        <v>39</v>
      </c>
      <c r="C39" s="70"/>
      <c r="D39" s="71"/>
      <c r="E39" s="16" t="s">
        <v>8</v>
      </c>
      <c r="F39" s="16" t="s">
        <v>0</v>
      </c>
      <c r="G39" s="17" t="s">
        <v>8</v>
      </c>
      <c r="H39" s="17" t="s">
        <v>8</v>
      </c>
      <c r="I39" s="17" t="s">
        <v>8</v>
      </c>
      <c r="J39" s="17" t="s">
        <v>8</v>
      </c>
      <c r="K39" s="17" t="s">
        <v>8</v>
      </c>
      <c r="L39" s="19" t="s">
        <v>8</v>
      </c>
      <c r="M39" s="19" t="s">
        <v>9</v>
      </c>
      <c r="N39" s="18" t="s">
        <v>9</v>
      </c>
      <c r="O39" s="18" t="s">
        <v>8</v>
      </c>
      <c r="P39" s="18" t="s">
        <v>9</v>
      </c>
      <c r="Q39" s="18" t="s">
        <v>8</v>
      </c>
      <c r="R39" s="18" t="s">
        <v>8</v>
      </c>
      <c r="S39" s="18" t="s">
        <v>8</v>
      </c>
      <c r="T39" s="18" t="s">
        <v>8</v>
      </c>
      <c r="U39" s="18" t="s">
        <v>9</v>
      </c>
      <c r="V39" s="18" t="s">
        <v>8</v>
      </c>
      <c r="W39" s="18" t="s">
        <v>8</v>
      </c>
      <c r="X39" s="18" t="s">
        <v>8</v>
      </c>
      <c r="Y39" s="18" t="s">
        <v>9</v>
      </c>
      <c r="Z39" s="18" t="s">
        <v>0</v>
      </c>
      <c r="AA39" s="18" t="s">
        <v>0</v>
      </c>
      <c r="AB39" s="18" t="s">
        <v>8</v>
      </c>
      <c r="AC39" s="18" t="s">
        <v>8</v>
      </c>
      <c r="AD39" s="18" t="s">
        <v>8</v>
      </c>
      <c r="AE39" s="18" t="s">
        <v>8</v>
      </c>
      <c r="AF39" s="18" t="s">
        <v>8</v>
      </c>
      <c r="AG39" s="18" t="s">
        <v>8</v>
      </c>
      <c r="AH39" s="18" t="s">
        <v>0</v>
      </c>
      <c r="AI39" s="18" t="s">
        <v>8</v>
      </c>
      <c r="AJ39" s="9"/>
    </row>
    <row r="40" spans="1:36" s="8" customFormat="1" ht="22" customHeight="1" thickBot="1" x14ac:dyDescent="0.3">
      <c r="A40" s="6"/>
      <c r="B40" s="65" t="s">
        <v>18</v>
      </c>
      <c r="C40" s="66"/>
      <c r="D40" s="7" t="s">
        <v>17</v>
      </c>
      <c r="E40" s="67" t="s">
        <v>11</v>
      </c>
      <c r="F40" s="68"/>
      <c r="G40" s="13">
        <f>COUNTIF(E39:AI39,"H")</f>
        <v>22</v>
      </c>
      <c r="H40" s="67" t="s">
        <v>12</v>
      </c>
      <c r="I40" s="68"/>
      <c r="J40" s="13">
        <f>COUNTIF(E39:AI39,"T")</f>
        <v>5</v>
      </c>
      <c r="K40" s="67" t="s">
        <v>13</v>
      </c>
      <c r="L40" s="68"/>
      <c r="M40" s="13">
        <f>COUNTIF(E39:AI39,"A") + COUNTIF(E39:AI39,"I")</f>
        <v>4</v>
      </c>
      <c r="N40" s="67" t="s">
        <v>14</v>
      </c>
      <c r="O40" s="68"/>
      <c r="P40" s="13">
        <f>IF((G40+J40+M40)=0,0,(G40+J40)/(G40+J40+M40)*100)</f>
        <v>87.096774193548384</v>
      </c>
      <c r="Q40" s="67"/>
      <c r="R40" s="68"/>
      <c r="S40" s="13"/>
      <c r="T40" s="67"/>
      <c r="U40" s="68"/>
      <c r="V40" s="14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6"/>
    </row>
    <row r="41" spans="1:36" s="10" customFormat="1" ht="22" customHeight="1" x14ac:dyDescent="0.25">
      <c r="A41" s="9"/>
      <c r="B41" s="69" t="s">
        <v>40</v>
      </c>
      <c r="C41" s="70"/>
      <c r="D41" s="71"/>
      <c r="E41" s="16" t="s">
        <v>8</v>
      </c>
      <c r="F41" s="16" t="s">
        <v>0</v>
      </c>
      <c r="G41" s="17" t="s">
        <v>8</v>
      </c>
      <c r="H41" s="17" t="s">
        <v>8</v>
      </c>
      <c r="I41" s="17" t="s">
        <v>8</v>
      </c>
      <c r="J41" s="17" t="s">
        <v>8</v>
      </c>
      <c r="K41" s="17" t="s">
        <v>8</v>
      </c>
      <c r="L41" s="19" t="s">
        <v>8</v>
      </c>
      <c r="M41" s="19" t="s">
        <v>9</v>
      </c>
      <c r="N41" s="18" t="s">
        <v>9</v>
      </c>
      <c r="O41" s="18" t="s">
        <v>8</v>
      </c>
      <c r="P41" s="18" t="s">
        <v>9</v>
      </c>
      <c r="Q41" s="18" t="s">
        <v>8</v>
      </c>
      <c r="R41" s="18" t="s">
        <v>8</v>
      </c>
      <c r="S41" s="18" t="s">
        <v>8</v>
      </c>
      <c r="T41" s="18" t="s">
        <v>8</v>
      </c>
      <c r="U41" s="18" t="s">
        <v>9</v>
      </c>
      <c r="V41" s="18" t="s">
        <v>8</v>
      </c>
      <c r="W41" s="18" t="s">
        <v>8</v>
      </c>
      <c r="X41" s="18" t="s">
        <v>8</v>
      </c>
      <c r="Y41" s="18" t="s">
        <v>9</v>
      </c>
      <c r="Z41" s="18" t="s">
        <v>0</v>
      </c>
      <c r="AA41" s="18" t="s">
        <v>0</v>
      </c>
      <c r="AB41" s="18" t="s">
        <v>8</v>
      </c>
      <c r="AC41" s="18" t="s">
        <v>8</v>
      </c>
      <c r="AD41" s="18" t="s">
        <v>8</v>
      </c>
      <c r="AE41" s="18" t="s">
        <v>8</v>
      </c>
      <c r="AF41" s="18" t="s">
        <v>8</v>
      </c>
      <c r="AG41" s="18" t="s">
        <v>8</v>
      </c>
      <c r="AH41" s="18" t="s">
        <v>0</v>
      </c>
      <c r="AI41" s="18" t="s">
        <v>8</v>
      </c>
      <c r="AJ41" s="9"/>
    </row>
    <row r="42" spans="1:36" s="8" customFormat="1" ht="22" customHeight="1" thickBot="1" x14ac:dyDescent="0.3">
      <c r="A42" s="6"/>
      <c r="B42" s="65" t="s">
        <v>18</v>
      </c>
      <c r="C42" s="66"/>
      <c r="D42" s="7" t="s">
        <v>17</v>
      </c>
      <c r="E42" s="67" t="s">
        <v>11</v>
      </c>
      <c r="F42" s="68"/>
      <c r="G42" s="13">
        <f>COUNTIF(E41:AI41,"H")</f>
        <v>22</v>
      </c>
      <c r="H42" s="67" t="s">
        <v>12</v>
      </c>
      <c r="I42" s="68"/>
      <c r="J42" s="13">
        <f>COUNTIF(E41:AI41,"T")</f>
        <v>5</v>
      </c>
      <c r="K42" s="67" t="s">
        <v>13</v>
      </c>
      <c r="L42" s="68"/>
      <c r="M42" s="13">
        <f>COUNTIF(E41:AI41,"A") + COUNTIF(E41:AI41,"I")</f>
        <v>4</v>
      </c>
      <c r="N42" s="67" t="s">
        <v>14</v>
      </c>
      <c r="O42" s="68"/>
      <c r="P42" s="13">
        <f>IF((G42+J42+M42)=0,0,(G42+J42)/(G42+J42+M42)*100)</f>
        <v>87.096774193548384</v>
      </c>
      <c r="Q42" s="67"/>
      <c r="R42" s="68"/>
      <c r="S42" s="13"/>
      <c r="T42" s="67"/>
      <c r="U42" s="68"/>
      <c r="V42" s="14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6"/>
    </row>
    <row r="43" spans="1:36" s="10" customFormat="1" ht="22" customHeight="1" x14ac:dyDescent="0.25">
      <c r="A43" s="9"/>
      <c r="B43" s="62" t="s">
        <v>41</v>
      </c>
      <c r="C43" s="63"/>
      <c r="D43" s="64"/>
      <c r="E43" s="16" t="s">
        <v>8</v>
      </c>
      <c r="F43" s="16" t="s">
        <v>0</v>
      </c>
      <c r="G43" s="17" t="s">
        <v>8</v>
      </c>
      <c r="H43" s="17" t="s">
        <v>8</v>
      </c>
      <c r="I43" s="17" t="s">
        <v>8</v>
      </c>
      <c r="J43" s="17" t="s">
        <v>8</v>
      </c>
      <c r="K43" s="17" t="s">
        <v>8</v>
      </c>
      <c r="L43" s="19" t="s">
        <v>8</v>
      </c>
      <c r="M43" s="19" t="s">
        <v>9</v>
      </c>
      <c r="N43" s="18" t="s">
        <v>9</v>
      </c>
      <c r="O43" s="18" t="s">
        <v>8</v>
      </c>
      <c r="P43" s="18" t="s">
        <v>9</v>
      </c>
      <c r="Q43" s="18" t="s">
        <v>8</v>
      </c>
      <c r="R43" s="18" t="s">
        <v>8</v>
      </c>
      <c r="S43" s="18" t="s">
        <v>8</v>
      </c>
      <c r="T43" s="18" t="s">
        <v>8</v>
      </c>
      <c r="U43" s="18" t="s">
        <v>9</v>
      </c>
      <c r="V43" s="18" t="s">
        <v>8</v>
      </c>
      <c r="W43" s="18" t="s">
        <v>8</v>
      </c>
      <c r="X43" s="18" t="s">
        <v>8</v>
      </c>
      <c r="Y43" s="18" t="s">
        <v>9</v>
      </c>
      <c r="Z43" s="18" t="s">
        <v>0</v>
      </c>
      <c r="AA43" s="18" t="s">
        <v>0</v>
      </c>
      <c r="AB43" s="18" t="s">
        <v>8</v>
      </c>
      <c r="AC43" s="18" t="s">
        <v>8</v>
      </c>
      <c r="AD43" s="18" t="s">
        <v>8</v>
      </c>
      <c r="AE43" s="18" t="s">
        <v>8</v>
      </c>
      <c r="AF43" s="18" t="s">
        <v>8</v>
      </c>
      <c r="AG43" s="18" t="s">
        <v>8</v>
      </c>
      <c r="AH43" s="18" t="s">
        <v>0</v>
      </c>
      <c r="AI43" s="18" t="s">
        <v>8</v>
      </c>
      <c r="AJ43" s="9"/>
    </row>
    <row r="44" spans="1:36" s="8" customFormat="1" ht="22" customHeight="1" thickBot="1" x14ac:dyDescent="0.3">
      <c r="A44" s="6"/>
      <c r="B44" s="65" t="s">
        <v>18</v>
      </c>
      <c r="C44" s="66"/>
      <c r="D44" s="7" t="s">
        <v>17</v>
      </c>
      <c r="E44" s="67" t="s">
        <v>11</v>
      </c>
      <c r="F44" s="68"/>
      <c r="G44" s="13">
        <f>COUNTIF(E43:AI43,"H")</f>
        <v>22</v>
      </c>
      <c r="H44" s="67" t="s">
        <v>12</v>
      </c>
      <c r="I44" s="68"/>
      <c r="J44" s="13">
        <f>COUNTIF(E43:AI43,"T")</f>
        <v>5</v>
      </c>
      <c r="K44" s="67" t="s">
        <v>13</v>
      </c>
      <c r="L44" s="68"/>
      <c r="M44" s="13">
        <f>COUNTIF(E43:AI43,"A") + COUNTIF(E43:AI43,"I")</f>
        <v>4</v>
      </c>
      <c r="N44" s="67" t="s">
        <v>14</v>
      </c>
      <c r="O44" s="68"/>
      <c r="P44" s="13">
        <f>IF((G44+J44+M44)=0,0,(G44+J44)/(G44+J44+M44)*100)</f>
        <v>87.096774193548384</v>
      </c>
      <c r="Q44" s="67"/>
      <c r="R44" s="68"/>
      <c r="S44" s="13"/>
      <c r="T44" s="67"/>
      <c r="U44" s="68"/>
      <c r="V44" s="14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6"/>
    </row>
    <row r="45" spans="1:36" ht="22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ht="28.5" customHeight="1" x14ac:dyDescent="0.35">
      <c r="A46" s="2"/>
      <c r="B46" s="48" t="s">
        <v>19</v>
      </c>
      <c r="C46" s="48"/>
      <c r="D46" s="48"/>
      <c r="E46" s="48"/>
      <c r="F46" s="48"/>
      <c r="G46" s="48"/>
      <c r="H46" s="48"/>
      <c r="I46" s="48"/>
      <c r="J46" s="48"/>
      <c r="L46" s="49" t="s">
        <v>77</v>
      </c>
      <c r="M46" s="50"/>
      <c r="N46" s="50"/>
      <c r="O46" s="50"/>
      <c r="P46" s="50"/>
      <c r="Q46" s="50"/>
      <c r="R46" s="50"/>
      <c r="S46" s="50"/>
      <c r="T46" s="50"/>
      <c r="U46" s="50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6" ht="22" customHeight="1" x14ac:dyDescent="0.35">
      <c r="A47" s="2"/>
      <c r="B47" s="51"/>
      <c r="C47" s="51"/>
      <c r="D47" s="51"/>
      <c r="E47" s="51"/>
      <c r="F47" s="51"/>
      <c r="G47" s="51"/>
      <c r="H47" s="51"/>
      <c r="I47" s="51"/>
      <c r="J47" s="51"/>
      <c r="L47" s="52" t="s">
        <v>21</v>
      </c>
      <c r="M47" s="52"/>
      <c r="N47" s="52"/>
      <c r="O47" s="52"/>
      <c r="P47" s="52"/>
      <c r="Q47" s="52"/>
      <c r="R47" s="52"/>
      <c r="S47" s="52"/>
      <c r="T47" s="53">
        <v>31</v>
      </c>
      <c r="U47" s="54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6" ht="22" customHeight="1" x14ac:dyDescent="0.35">
      <c r="A48" s="2"/>
      <c r="B48" s="51"/>
      <c r="C48" s="51"/>
      <c r="D48" s="51"/>
      <c r="E48" s="51"/>
      <c r="F48" s="51"/>
      <c r="G48" s="51"/>
      <c r="H48" s="51"/>
      <c r="I48" s="51"/>
      <c r="J48" s="51"/>
      <c r="L48" s="52" t="s">
        <v>42</v>
      </c>
      <c r="M48" s="52"/>
      <c r="N48" s="52"/>
      <c r="O48" s="52"/>
      <c r="P48" s="52"/>
      <c r="Q48" s="52"/>
      <c r="R48" s="52"/>
      <c r="S48" s="52"/>
      <c r="T48" s="53">
        <v>20</v>
      </c>
      <c r="U48" s="54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1:36" ht="22" customHeight="1" x14ac:dyDescent="0.35">
      <c r="A49" s="2"/>
      <c r="B49" s="51"/>
      <c r="C49" s="51"/>
      <c r="D49" s="51"/>
      <c r="E49" s="51"/>
      <c r="F49" s="51"/>
      <c r="G49" s="51"/>
      <c r="H49" s="51"/>
      <c r="I49" s="51"/>
      <c r="J49" s="51"/>
      <c r="L49" s="55" t="s">
        <v>43</v>
      </c>
      <c r="M49" s="55"/>
      <c r="N49" s="55"/>
      <c r="O49" s="55"/>
      <c r="P49" s="55"/>
      <c r="Q49" s="55"/>
      <c r="R49" s="55"/>
      <c r="S49" s="55"/>
      <c r="T49" s="58">
        <f>T47*T48</f>
        <v>620</v>
      </c>
      <c r="U49" s="59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1:36" ht="22" customHeight="1" x14ac:dyDescent="0.35">
      <c r="A50" s="2"/>
      <c r="B50" s="51"/>
      <c r="C50" s="51"/>
      <c r="D50" s="51"/>
      <c r="E50" s="51"/>
      <c r="F50" s="51"/>
      <c r="G50" s="51"/>
      <c r="H50" s="51"/>
      <c r="I50" s="51"/>
      <c r="J50" s="51"/>
      <c r="L50" s="52" t="s">
        <v>44</v>
      </c>
      <c r="M50" s="52"/>
      <c r="N50" s="52"/>
      <c r="O50" s="52"/>
      <c r="P50" s="52"/>
      <c r="Q50" s="52"/>
      <c r="R50" s="52"/>
      <c r="S50" s="52"/>
      <c r="T50" s="60">
        <f>COUNTIF(E5:AI43,"H")</f>
        <v>444</v>
      </c>
      <c r="U50" s="61"/>
      <c r="AD50" s="2"/>
      <c r="AE50" s="2"/>
      <c r="AF50" s="2"/>
      <c r="AG50" s="2"/>
      <c r="AH50" s="2"/>
      <c r="AI50" s="2"/>
    </row>
    <row r="51" spans="1:36" ht="22" customHeight="1" x14ac:dyDescent="0.35">
      <c r="A51" s="2"/>
      <c r="B51" s="51"/>
      <c r="C51" s="51"/>
      <c r="D51" s="51"/>
      <c r="E51" s="51"/>
      <c r="F51" s="51"/>
      <c r="G51" s="51"/>
      <c r="H51" s="51"/>
      <c r="I51" s="51"/>
      <c r="J51" s="51"/>
      <c r="L51" s="52" t="s">
        <v>87</v>
      </c>
      <c r="M51" s="52"/>
      <c r="N51" s="52"/>
      <c r="O51" s="52"/>
      <c r="P51" s="52"/>
      <c r="Q51" s="52"/>
      <c r="R51" s="52"/>
      <c r="S51" s="52"/>
      <c r="T51" s="60">
        <f>COUNTIF(E5:AI43,"T")</f>
        <v>96</v>
      </c>
      <c r="U51" s="61"/>
      <c r="AD51" s="2"/>
      <c r="AE51" s="2"/>
      <c r="AF51" s="2"/>
      <c r="AG51" s="2"/>
      <c r="AH51" s="2"/>
      <c r="AI51" s="2"/>
    </row>
    <row r="52" spans="1:36" ht="22" customHeight="1" x14ac:dyDescent="0.35">
      <c r="A52" s="2"/>
      <c r="B52" s="51"/>
      <c r="C52" s="51"/>
      <c r="D52" s="51"/>
      <c r="E52" s="51"/>
      <c r="F52" s="51"/>
      <c r="G52" s="51"/>
      <c r="H52" s="51"/>
      <c r="I52" s="51"/>
      <c r="J52" s="51"/>
      <c r="L52" s="52" t="s">
        <v>88</v>
      </c>
      <c r="M52" s="52"/>
      <c r="N52" s="52"/>
      <c r="O52" s="52"/>
      <c r="P52" s="52"/>
      <c r="Q52" s="52"/>
      <c r="R52" s="52"/>
      <c r="S52" s="52"/>
      <c r="T52" s="60">
        <f>COUNTIF(E5:AI43,"A")+COUNTIF(E5:AI43,"I")</f>
        <v>80</v>
      </c>
      <c r="U52" s="61"/>
      <c r="AD52" s="2"/>
      <c r="AE52" s="2"/>
      <c r="AF52" s="2"/>
      <c r="AG52" s="2"/>
      <c r="AH52" s="2"/>
      <c r="AI52" s="2"/>
    </row>
    <row r="53" spans="1:36" ht="22" customHeight="1" x14ac:dyDescent="0.35">
      <c r="A53" s="2"/>
      <c r="B53" s="51"/>
      <c r="C53" s="51"/>
      <c r="D53" s="51"/>
      <c r="E53" s="51"/>
      <c r="F53" s="51"/>
      <c r="G53" s="51"/>
      <c r="H53" s="51"/>
      <c r="I53" s="51"/>
      <c r="J53" s="51"/>
      <c r="L53" s="52" t="s">
        <v>47</v>
      </c>
      <c r="M53" s="52"/>
      <c r="N53" s="52"/>
      <c r="O53" s="52"/>
      <c r="P53" s="52"/>
      <c r="Q53" s="52"/>
      <c r="R53" s="52"/>
      <c r="S53" s="52"/>
      <c r="T53" s="56">
        <f>IF((T50+T51+T52)=0,0,(T50+T51)/( T50+T51+T52))</f>
        <v>0.87096774193548387</v>
      </c>
      <c r="U53" s="57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1:36" ht="16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ht="16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ht="16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ht="16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ht="16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ht="16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ht="16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spans="1:36" ht="16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ht="16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6" ht="16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ht="16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ht="16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ht="16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spans="1:36" ht="16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6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spans="1:36" ht="16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spans="1:36" ht="16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spans="1:36" ht="16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spans="1:36" ht="16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spans="1:36" ht="16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6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6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6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spans="1:36" ht="16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spans="1:36" ht="16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spans="1:36" ht="16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6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6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spans="1:36" ht="16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spans="1:36" ht="16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spans="1:36" ht="16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spans="1:36" ht="16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spans="1:36" ht="16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spans="1:36" ht="16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spans="1:36" ht="16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6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spans="1:36" ht="16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spans="1:36" ht="16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spans="1:36" ht="16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spans="1:36" ht="16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spans="1:36" ht="16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spans="1:36" ht="16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spans="1:36" ht="16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spans="1:36" ht="16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spans="1:36" ht="16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spans="1:36" ht="16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spans="1:36" ht="16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spans="1:36" ht="16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spans="1:36" ht="16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spans="1:36" ht="16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spans="1:36" ht="16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spans="1:36" ht="16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spans="1:36" ht="16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spans="1:36" ht="16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spans="1:36" ht="16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spans="1:36" ht="16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spans="1:36" ht="16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spans="1:36" ht="16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spans="1:36" ht="16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spans="1:36" ht="16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spans="1:36" ht="16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spans="1:36" ht="16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spans="1:36" ht="16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spans="1:36" ht="16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spans="1:36" ht="16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spans="1:36" ht="16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spans="1:36" ht="16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6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6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6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6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6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6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6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6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6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6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6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6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6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6" ht="16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6" ht="16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6" ht="16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6" ht="16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6" ht="16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6" ht="16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spans="1:36" ht="16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spans="1:36" ht="16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spans="1:36" ht="16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spans="1:36" ht="16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spans="1:36" ht="16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spans="1:36" ht="16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spans="1:36" ht="16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spans="1:36" ht="16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spans="1:36" ht="16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spans="1:36" ht="16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spans="1:36" ht="16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spans="1:36" ht="16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spans="1:36" ht="16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spans="1:36" ht="16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spans="1:36" ht="16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spans="1:36" ht="16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spans="1:36" ht="16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spans="1:36" ht="16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spans="1:36" ht="16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spans="1:36" ht="16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spans="1:36" ht="16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spans="1:36" ht="16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spans="1:36" ht="16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spans="1:36" ht="16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spans="1:36" ht="16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spans="1:36" ht="16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spans="1:36" ht="16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spans="1:36" ht="16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spans="1:36" ht="16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spans="1:36" ht="16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spans="1:36" ht="16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spans="1:36" ht="16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spans="1:36" ht="16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spans="1:36" ht="16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spans="1:36" ht="16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spans="1:36" ht="16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spans="1:36" ht="16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spans="1:36" ht="16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spans="1:36" ht="16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spans="1:36" ht="16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spans="1:36" ht="16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spans="1:36" ht="16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spans="1:36" ht="16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spans="1:36" ht="16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spans="1:36" ht="16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spans="1:36" ht="16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spans="1:36" ht="16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spans="1:36" ht="16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spans="1:36" ht="16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spans="1:36" ht="16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spans="1:36" ht="16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spans="1:36" ht="16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spans="1:36" ht="16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spans="1:36" ht="16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spans="1:36" ht="16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spans="1:36" ht="16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spans="1:36" ht="16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spans="1:36" ht="16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spans="1:36" ht="16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spans="1:36" ht="16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spans="1:36" ht="16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spans="1:36" ht="16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spans="1:36" ht="16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spans="1:36" ht="16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spans="1:36" ht="16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spans="1:36" ht="16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spans="1:36" ht="16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spans="1:36" ht="16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spans="1:36" ht="16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spans="1:36" ht="16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spans="1:36" ht="16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spans="1:36" ht="16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spans="1:36" ht="16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spans="1:36" ht="16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spans="1:36" ht="16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spans="1:36" ht="16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spans="1:36" ht="16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spans="1:36" ht="16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spans="1:36" ht="16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spans="1:36" ht="16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spans="1:36" ht="16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spans="1:36" ht="16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spans="1:36" ht="16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spans="1:36" ht="16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spans="1:36" ht="16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spans="1:36" ht="16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spans="1:36" ht="16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spans="1:36" ht="16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spans="1:36" ht="16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spans="1:36" ht="16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spans="1:36" ht="16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spans="1:36" ht="16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spans="1:36" ht="16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spans="1:36" ht="16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spans="1:36" ht="16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spans="1:36" ht="16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spans="1:36" ht="16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spans="1:36" ht="16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spans="1:36" ht="16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spans="1:36" ht="16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spans="1:36" ht="16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spans="1:36" ht="16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spans="1:36" ht="16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spans="1:36" ht="16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spans="1:36" ht="16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spans="1:36" ht="16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spans="1:36" ht="16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spans="1:36" ht="16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spans="1:36" ht="16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spans="1:36" ht="16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spans="1:36" ht="16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spans="1:36" ht="16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spans="1:36" ht="16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spans="1:36" ht="16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spans="1:36" ht="16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spans="1:36" ht="16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spans="1:36" ht="16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spans="1:36" ht="16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spans="1:36" ht="16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spans="1:36" ht="16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spans="1:36" ht="16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spans="1:36" ht="16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spans="1:36" ht="16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spans="1:36" ht="16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spans="1:36" ht="16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spans="1:36" ht="16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spans="1:36" ht="16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spans="1:36" ht="16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spans="1:36" ht="16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spans="1:36" ht="16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spans="1:36" ht="16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spans="1:36" ht="16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spans="1:36" ht="16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spans="1:36" ht="16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spans="1:36" ht="16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spans="1:36" ht="16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spans="1:36" ht="16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spans="1:36" ht="16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spans="1:36" ht="16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spans="1:36" ht="16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spans="1:36" ht="16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spans="1:36" ht="16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spans="1:36" ht="16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spans="1:36" ht="16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spans="1:36" ht="16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spans="1:36" ht="16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spans="1:36" ht="16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spans="1:36" ht="16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spans="1:36" ht="16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spans="1:36" ht="16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spans="1:36" ht="16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spans="1:36" ht="16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spans="1:36" ht="16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spans="1:36" ht="16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spans="1:36" ht="16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spans="1:36" ht="16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spans="1:36" ht="16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spans="1:36" ht="16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spans="1:36" ht="16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spans="1:36" ht="16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spans="1:36" ht="16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spans="1:36" ht="16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spans="1:36" ht="16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spans="1:36" ht="16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spans="1:36" ht="16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spans="1:36" ht="16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spans="1:36" ht="16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spans="1:36" ht="16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spans="1:36" ht="16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spans="1:36" ht="16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spans="1:36" ht="16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spans="1:36" ht="16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spans="1:36" ht="16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spans="1:36" ht="16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spans="1:36" ht="16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spans="1:36" ht="16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spans="1:36" ht="16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spans="1:36" ht="16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spans="1:36" ht="16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spans="1:36" ht="16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spans="1:36" ht="16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spans="1:36" ht="16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spans="1:36" ht="16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spans="1:36" ht="16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spans="1:36" ht="16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spans="1:36" ht="16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spans="1:36" ht="16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spans="1:36" ht="16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spans="1:36" ht="16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spans="1:36" ht="16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spans="1:36" ht="16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spans="1:36" ht="16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spans="1:36" ht="16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spans="1:36" ht="16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spans="1:36" ht="16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spans="1:36" ht="16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spans="1:36" ht="16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spans="1:36" ht="16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spans="1:36" ht="16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spans="1:36" ht="16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spans="1:36" ht="16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spans="1:36" ht="16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spans="1:36" ht="16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spans="1:36" ht="16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spans="1:36" ht="16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spans="1:36" ht="16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spans="1:36" ht="16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spans="1:36" ht="16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spans="1:36" ht="16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spans="1:36" ht="16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spans="1:36" ht="16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spans="1:36" ht="16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spans="1:36" ht="16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spans="1:36" ht="16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spans="1:36" ht="16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spans="1:36" ht="16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spans="1:36" ht="16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spans="1:36" ht="16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spans="1:36" ht="16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spans="1:36" ht="16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spans="1:36" ht="16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spans="1:36" ht="16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spans="1:36" ht="16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spans="1:36" ht="16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spans="1:36" ht="16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spans="1:36" ht="16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spans="1:36" ht="16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spans="1:36" ht="16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spans="1:36" ht="16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spans="1:36" ht="16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spans="1:36" ht="16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spans="1:36" ht="16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spans="1:36" ht="16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spans="1:36" ht="16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spans="1:36" ht="16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spans="1:36" ht="16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spans="1:36" ht="16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spans="1:36" ht="16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spans="1:36" ht="16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spans="1:36" ht="16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spans="1:36" ht="16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spans="1:36" ht="16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spans="1:36" ht="16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spans="1:36" ht="16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spans="1:36" ht="16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spans="1:36" ht="16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spans="1:36" ht="16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spans="1:36" ht="16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spans="1:36" ht="16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spans="1:36" ht="16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spans="1:36" ht="16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spans="1:36" ht="16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spans="1:36" ht="16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spans="1:36" ht="16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spans="1:36" ht="16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spans="1:36" ht="16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spans="1:36" ht="16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spans="1:36" ht="16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spans="1:36" ht="16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spans="1:36" ht="16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spans="1:36" ht="16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spans="1:36" ht="16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spans="1:36" ht="16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spans="1:36" ht="16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spans="1:36" ht="16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spans="1:36" ht="16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spans="1:36" ht="16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spans="1:36" ht="16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spans="1:36" ht="16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spans="1:36" ht="16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spans="1:36" ht="16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spans="1:36" ht="16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spans="1:36" ht="16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spans="1:36" ht="16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spans="1:36" ht="16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spans="1:36" ht="16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spans="1:36" ht="16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spans="1:36" ht="16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spans="1:36" ht="16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spans="1:36" ht="16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spans="1:36" ht="16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spans="1:36" ht="16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spans="1:36" ht="16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spans="1:36" ht="16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spans="1:36" ht="16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spans="1:36" ht="16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spans="1:36" ht="16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spans="1:36" ht="16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spans="1:36" ht="16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spans="1:36" ht="16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spans="1:36" ht="16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spans="1:36" ht="16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spans="1:36" ht="16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spans="1:36" ht="16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spans="1:36" ht="16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spans="1:36" ht="16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spans="1:36" ht="16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spans="1:36" ht="16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spans="1:36" ht="16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spans="1:36" ht="16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spans="1:36" ht="16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spans="1:36" ht="16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spans="1:36" ht="16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spans="1:36" ht="16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spans="1:36" ht="16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spans="1:36" ht="16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spans="1:36" ht="16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spans="1:36" ht="16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spans="1:36" ht="16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spans="1:36" ht="16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spans="1:36" ht="16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spans="1:36" ht="16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spans="1:36" ht="16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spans="1:36" ht="16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spans="1:36" ht="16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spans="1:36" ht="16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spans="1:36" ht="16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spans="1:36" ht="16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spans="1:36" ht="16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spans="1:36" ht="16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spans="1:36" ht="16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spans="1:36" ht="16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spans="1:36" ht="16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spans="1:36" ht="16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spans="1:36" ht="16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spans="1:36" ht="16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spans="1:36" ht="16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spans="1:36" ht="16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spans="1:36" ht="16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spans="1:36" ht="16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spans="1:36" ht="16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spans="1:36" ht="16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spans="1:36" ht="16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spans="1:36" ht="16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spans="1:36" ht="16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spans="1:36" ht="16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spans="1:36" ht="16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spans="1:36" ht="16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spans="1:36" ht="16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spans="1:36" ht="16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spans="1:36" ht="16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spans="1:36" ht="16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spans="1:36" ht="16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spans="1:36" ht="16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spans="1:36" ht="16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spans="1:36" ht="16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spans="1:36" ht="16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spans="1:36" ht="16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spans="1:36" ht="16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spans="1:36" ht="16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spans="1:36" ht="16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spans="1:36" ht="16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spans="1:36" ht="16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spans="1:36" ht="16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spans="1:36" ht="16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spans="1:36" ht="16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spans="1:36" ht="16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spans="1:36" ht="16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spans="1:36" ht="16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spans="1:36" ht="16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spans="1:36" ht="16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spans="1:36" ht="16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spans="1:36" ht="16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spans="1:36" ht="16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spans="1:36" ht="16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spans="1:36" ht="16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spans="1:36" ht="16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spans="1:36" ht="16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spans="1:36" ht="16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spans="1:36" ht="16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spans="1:36" ht="16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spans="1:36" ht="16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spans="1:36" ht="16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spans="1:36" ht="16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spans="1:36" ht="16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spans="1:36" ht="16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spans="1:36" ht="16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spans="1:36" ht="16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spans="1:36" ht="16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spans="1:36" ht="16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spans="1:36" ht="16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spans="1:36" ht="16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spans="1:36" ht="16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spans="1:36" ht="16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spans="1:36" ht="16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spans="1:36" ht="16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spans="1:36" ht="16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spans="1:36" ht="16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spans="1:36" ht="16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spans="1:36" ht="16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spans="1:36" ht="16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spans="1:36" ht="16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spans="1:36" ht="16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spans="1:36" ht="16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spans="1:36" ht="16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spans="1:36" ht="16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spans="1:36" ht="16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spans="1:36" ht="16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spans="1:36" ht="16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spans="1:36" ht="16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spans="1:36" ht="16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spans="1:36" ht="16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spans="1:36" ht="16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spans="1:36" ht="16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spans="1:36" ht="16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spans="1:36" ht="16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spans="1:36" ht="16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spans="1:36" ht="16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spans="1:36" ht="16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spans="1:36" ht="16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spans="1:36" ht="16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spans="1:36" ht="16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spans="1:36" ht="16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spans="1:36" ht="16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spans="1:36" ht="16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spans="1:36" ht="16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spans="1:36" ht="16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spans="1:36" ht="16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spans="1:36" ht="16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spans="1:36" ht="16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spans="1:36" ht="16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spans="1:36" ht="16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spans="1:36" ht="16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spans="1:36" ht="16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spans="1:36" ht="16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spans="1:36" ht="16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spans="1:36" ht="16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spans="1:36" ht="16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spans="1:36" ht="16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spans="1:36" ht="16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spans="1:36" ht="16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spans="1:36" ht="16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spans="1:36" ht="16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spans="1:36" ht="16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spans="1:36" ht="16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spans="1:36" ht="16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spans="1:36" ht="16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spans="1:36" ht="16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spans="1:36" ht="16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spans="1:36" ht="16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spans="1:36" ht="16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spans="1:36" ht="16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spans="1:36" ht="16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spans="1:36" ht="16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spans="1:36" ht="16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spans="1:36" ht="16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spans="1:36" ht="16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spans="1:36" ht="16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spans="1:36" ht="16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spans="1:36" ht="16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spans="1:36" ht="16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spans="1:36" ht="16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spans="1:36" ht="16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spans="1:36" ht="16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spans="1:36" ht="16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spans="1:36" ht="16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spans="1:36" ht="16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spans="1:36" ht="16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spans="1:36" ht="16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spans="1:36" ht="16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spans="1:36" ht="16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spans="1:36" ht="16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spans="1:36" ht="16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spans="1:36" ht="16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spans="1:36" ht="16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spans="1:36" ht="16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spans="1:36" ht="16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spans="1:36" ht="16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spans="1:36" ht="16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spans="1:36" ht="16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spans="1:36" ht="16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spans="1:36" ht="16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spans="1:36" ht="16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spans="1:36" ht="16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spans="1:36" ht="16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spans="1:36" ht="16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spans="1:36" ht="16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spans="1:36" ht="16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spans="1:36" ht="16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spans="1:36" ht="16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spans="1:36" ht="16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spans="1:36" ht="16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spans="1:36" ht="16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spans="1:36" ht="16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spans="1:36" ht="16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spans="1:36" ht="16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spans="1:36" ht="16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spans="1:36" ht="16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spans="1:36" ht="16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spans="1:36" ht="16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spans="1:36" ht="16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spans="1:36" ht="16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spans="1:36" ht="16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spans="1:36" ht="16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spans="1:36" ht="16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spans="1:36" ht="16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spans="1:36" ht="16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spans="1:36" ht="16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spans="1:36" ht="16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spans="1:36" ht="16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spans="1:36" ht="16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spans="1:36" ht="16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spans="1:36" ht="16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spans="1:36" ht="16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spans="1:36" ht="16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spans="1:36" ht="16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spans="1:36" ht="16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spans="1:36" ht="16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spans="1:36" ht="16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spans="1:36" ht="16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spans="1:36" ht="16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</sheetData>
  <mergeCells count="184">
    <mergeCell ref="M2:N2"/>
    <mergeCell ref="Q2:R2"/>
    <mergeCell ref="U2:W2"/>
    <mergeCell ref="C4:D4"/>
    <mergeCell ref="B5:D5"/>
    <mergeCell ref="B6:C6"/>
    <mergeCell ref="E6:F6"/>
    <mergeCell ref="H6:I6"/>
    <mergeCell ref="K6:L6"/>
    <mergeCell ref="B2:D2"/>
    <mergeCell ref="E2:F2"/>
    <mergeCell ref="I2:J2"/>
    <mergeCell ref="N6:O6"/>
    <mergeCell ref="Q6:R6"/>
    <mergeCell ref="T6:U6"/>
    <mergeCell ref="B7:D7"/>
    <mergeCell ref="B8:C8"/>
    <mergeCell ref="E8:F8"/>
    <mergeCell ref="H8:I8"/>
    <mergeCell ref="K8:L8"/>
    <mergeCell ref="N8:O8"/>
    <mergeCell ref="Q8:R8"/>
    <mergeCell ref="B11:D11"/>
    <mergeCell ref="B12:C12"/>
    <mergeCell ref="E12:F12"/>
    <mergeCell ref="H12:I12"/>
    <mergeCell ref="K12:L12"/>
    <mergeCell ref="N12:O12"/>
    <mergeCell ref="T8:U8"/>
    <mergeCell ref="B9:D9"/>
    <mergeCell ref="B10:C10"/>
    <mergeCell ref="E10:F10"/>
    <mergeCell ref="H10:I10"/>
    <mergeCell ref="K10:L10"/>
    <mergeCell ref="N10:O10"/>
    <mergeCell ref="Q10:R10"/>
    <mergeCell ref="T10:U10"/>
    <mergeCell ref="B15:D15"/>
    <mergeCell ref="B16:C16"/>
    <mergeCell ref="E16:F16"/>
    <mergeCell ref="H16:I16"/>
    <mergeCell ref="K16:L16"/>
    <mergeCell ref="N16:O16"/>
    <mergeCell ref="Q12:R12"/>
    <mergeCell ref="T12:U12"/>
    <mergeCell ref="B13:D13"/>
    <mergeCell ref="B14:C14"/>
    <mergeCell ref="E14:F14"/>
    <mergeCell ref="H14:I14"/>
    <mergeCell ref="K14:L14"/>
    <mergeCell ref="N14:O14"/>
    <mergeCell ref="Q14:R14"/>
    <mergeCell ref="T14:U14"/>
    <mergeCell ref="B19:D19"/>
    <mergeCell ref="B20:C20"/>
    <mergeCell ref="E20:F20"/>
    <mergeCell ref="H20:I20"/>
    <mergeCell ref="K20:L20"/>
    <mergeCell ref="N20:O20"/>
    <mergeCell ref="Q16:R16"/>
    <mergeCell ref="T16:U16"/>
    <mergeCell ref="B17:D17"/>
    <mergeCell ref="B18:C18"/>
    <mergeCell ref="E18:F18"/>
    <mergeCell ref="H18:I18"/>
    <mergeCell ref="K18:L18"/>
    <mergeCell ref="N18:O18"/>
    <mergeCell ref="Q18:R18"/>
    <mergeCell ref="T18:U18"/>
    <mergeCell ref="B23:D23"/>
    <mergeCell ref="B24:C24"/>
    <mergeCell ref="E24:F24"/>
    <mergeCell ref="H24:I24"/>
    <mergeCell ref="K24:L24"/>
    <mergeCell ref="N24:O24"/>
    <mergeCell ref="Q20:R20"/>
    <mergeCell ref="T20:U20"/>
    <mergeCell ref="B21:D21"/>
    <mergeCell ref="B22:C22"/>
    <mergeCell ref="E22:F22"/>
    <mergeCell ref="H22:I22"/>
    <mergeCell ref="K22:L22"/>
    <mergeCell ref="N22:O22"/>
    <mergeCell ref="Q22:R22"/>
    <mergeCell ref="T22:U22"/>
    <mergeCell ref="B27:D27"/>
    <mergeCell ref="B28:C28"/>
    <mergeCell ref="E28:F28"/>
    <mergeCell ref="H28:I28"/>
    <mergeCell ref="K28:L28"/>
    <mergeCell ref="N28:O28"/>
    <mergeCell ref="Q24:R24"/>
    <mergeCell ref="T24:U24"/>
    <mergeCell ref="B25:D25"/>
    <mergeCell ref="B26:C26"/>
    <mergeCell ref="E26:F26"/>
    <mergeCell ref="H26:I26"/>
    <mergeCell ref="K26:L26"/>
    <mergeCell ref="N26:O26"/>
    <mergeCell ref="Q26:R26"/>
    <mergeCell ref="T26:U26"/>
    <mergeCell ref="B31:D31"/>
    <mergeCell ref="B32:C32"/>
    <mergeCell ref="E32:F32"/>
    <mergeCell ref="H32:I32"/>
    <mergeCell ref="K32:L32"/>
    <mergeCell ref="N32:O32"/>
    <mergeCell ref="Q28:R28"/>
    <mergeCell ref="T28:U28"/>
    <mergeCell ref="B29:D29"/>
    <mergeCell ref="B30:C30"/>
    <mergeCell ref="E30:F30"/>
    <mergeCell ref="H30:I30"/>
    <mergeCell ref="K30:L30"/>
    <mergeCell ref="N30:O30"/>
    <mergeCell ref="Q30:R30"/>
    <mergeCell ref="T30:U30"/>
    <mergeCell ref="B35:D35"/>
    <mergeCell ref="B36:C36"/>
    <mergeCell ref="E36:F36"/>
    <mergeCell ref="H36:I36"/>
    <mergeCell ref="K36:L36"/>
    <mergeCell ref="N36:O36"/>
    <mergeCell ref="Q32:R32"/>
    <mergeCell ref="T32:U32"/>
    <mergeCell ref="B33:D33"/>
    <mergeCell ref="B34:C34"/>
    <mergeCell ref="E34:F34"/>
    <mergeCell ref="H34:I34"/>
    <mergeCell ref="K34:L34"/>
    <mergeCell ref="N34:O34"/>
    <mergeCell ref="Q34:R34"/>
    <mergeCell ref="T34:U34"/>
    <mergeCell ref="B39:D39"/>
    <mergeCell ref="B40:C40"/>
    <mergeCell ref="E40:F40"/>
    <mergeCell ref="H40:I40"/>
    <mergeCell ref="K40:L40"/>
    <mergeCell ref="N40:O40"/>
    <mergeCell ref="Q36:R36"/>
    <mergeCell ref="T36:U36"/>
    <mergeCell ref="B37:D37"/>
    <mergeCell ref="B38:C38"/>
    <mergeCell ref="E38:F38"/>
    <mergeCell ref="H38:I38"/>
    <mergeCell ref="K38:L38"/>
    <mergeCell ref="N38:O38"/>
    <mergeCell ref="Q38:R38"/>
    <mergeCell ref="T38:U38"/>
    <mergeCell ref="B43:D43"/>
    <mergeCell ref="B44:C44"/>
    <mergeCell ref="E44:F44"/>
    <mergeCell ref="H44:I44"/>
    <mergeCell ref="K44:L44"/>
    <mergeCell ref="N44:O44"/>
    <mergeCell ref="Q40:R40"/>
    <mergeCell ref="T40:U40"/>
    <mergeCell ref="B41:D41"/>
    <mergeCell ref="B42:C42"/>
    <mergeCell ref="E42:F42"/>
    <mergeCell ref="H42:I42"/>
    <mergeCell ref="K42:L42"/>
    <mergeCell ref="N42:O42"/>
    <mergeCell ref="Q42:R42"/>
    <mergeCell ref="T42:U42"/>
    <mergeCell ref="Q44:R44"/>
    <mergeCell ref="T44:U44"/>
    <mergeCell ref="B46:J46"/>
    <mergeCell ref="L46:U46"/>
    <mergeCell ref="B47:J53"/>
    <mergeCell ref="L47:S47"/>
    <mergeCell ref="T47:U47"/>
    <mergeCell ref="L48:S48"/>
    <mergeCell ref="T48:U48"/>
    <mergeCell ref="L49:S49"/>
    <mergeCell ref="L53:S53"/>
    <mergeCell ref="T53:U53"/>
    <mergeCell ref="T49:U49"/>
    <mergeCell ref="L50:S50"/>
    <mergeCell ref="T50:U50"/>
    <mergeCell ref="L51:S51"/>
    <mergeCell ref="T51:U51"/>
    <mergeCell ref="L52:S52"/>
    <mergeCell ref="T52:U52"/>
  </mergeCells>
  <conditionalFormatting sqref="E5:AI44">
    <cfRule type="cellIs" dxfId="21" priority="1" operator="equal">
      <formula>"H"</formula>
    </cfRule>
    <cfRule type="cellIs" dxfId="20" priority="6" operator="equal">
      <formula>"I"</formula>
    </cfRule>
    <cfRule type="cellIs" dxfId="19" priority="7" operator="equal">
      <formula>"T"</formula>
    </cfRule>
    <cfRule type="cellIs" dxfId="18" priority="8" operator="equal">
      <formula>"A"</formula>
    </cfRule>
  </conditionalFormatting>
  <conditionalFormatting sqref="G2 K2 O2">
    <cfRule type="cellIs" dxfId="17" priority="2" operator="equal">
      <formula>"I"</formula>
    </cfRule>
    <cfRule type="cellIs" dxfId="16" priority="9" operator="equal">
      <formula>"H"</formula>
    </cfRule>
    <cfRule type="cellIs" dxfId="15" priority="10" operator="equal">
      <formula>"T"</formula>
    </cfRule>
    <cfRule type="cellIs" dxfId="14" priority="11" operator="equal">
      <formula>"A"</formula>
    </cfRule>
  </conditionalFormatting>
  <conditionalFormatting sqref="S2">
    <cfRule type="cellIs" dxfId="13" priority="3" operator="equal">
      <formula>"H"</formula>
    </cfRule>
    <cfRule type="cellIs" dxfId="12" priority="4" operator="equal">
      <formula>"T"</formula>
    </cfRule>
    <cfRule type="cellIs" dxfId="11" priority="5" operator="equal">
      <formula>"A"</formula>
    </cfRule>
  </conditionalFormatting>
  <pageMargins left="0.4" right="0.4" top="0.4" bottom="0.4" header="0" footer="0"/>
  <pageSetup paperSize="3" scale="42"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CDFAF-4965-436D-976E-984709D4E993}">
  <sheetPr codeName="Sheet13">
    <tabColor rgb="FFF4EEA2"/>
    <outlinePr summaryBelow="0" summaryRight="0"/>
    <pageSetUpPr fitToPage="1"/>
  </sheetPr>
  <dimension ref="A1:AJ650"/>
  <sheetViews>
    <sheetView showGridLines="0" topLeftCell="F41" zoomScaleNormal="100" workbookViewId="0">
      <selection activeCell="L53" sqref="L53:S53"/>
    </sheetView>
  </sheetViews>
  <sheetFormatPr defaultColWidth="14.453125" defaultRowHeight="15.75" customHeight="1" x14ac:dyDescent="0.25"/>
  <cols>
    <col min="1" max="1" width="3.36328125" style="1" customWidth="1"/>
    <col min="2" max="2" width="19.36328125" style="1" customWidth="1"/>
    <col min="3" max="4" width="14.81640625" style="1" customWidth="1"/>
    <col min="5" max="35" width="7.81640625" style="1" customWidth="1"/>
    <col min="36" max="36" width="3.36328125" style="1" customWidth="1"/>
    <col min="37" max="16384" width="14.453125" style="1"/>
  </cols>
  <sheetData>
    <row r="1" spans="1:36" ht="50" customHeight="1" thickBot="1" x14ac:dyDescent="0.4">
      <c r="A1" s="2"/>
      <c r="B1" s="20" t="s">
        <v>80</v>
      </c>
      <c r="C1" s="2"/>
      <c r="D1" s="3"/>
      <c r="E1" s="4"/>
      <c r="F1" s="2"/>
      <c r="G1" s="3"/>
      <c r="H1" s="3"/>
      <c r="I1" s="2"/>
      <c r="J1" s="2"/>
      <c r="K1" s="3"/>
      <c r="L1" s="3"/>
      <c r="M1" s="2"/>
      <c r="N1" s="2"/>
      <c r="O1" s="3"/>
      <c r="P1" s="3"/>
      <c r="R1" s="2"/>
      <c r="S1" s="3"/>
      <c r="T1" s="3"/>
      <c r="V1" s="2"/>
      <c r="X1" s="2"/>
      <c r="Y1" s="2"/>
      <c r="Z1" s="2"/>
      <c r="AA1" s="2"/>
      <c r="AB1" s="2"/>
      <c r="AC1" s="2"/>
      <c r="AD1" s="2"/>
      <c r="AE1" s="2"/>
      <c r="AF1" s="2"/>
      <c r="AH1" s="2"/>
      <c r="AI1" s="2"/>
      <c r="AJ1" s="2"/>
    </row>
    <row r="2" spans="1:36" ht="44" customHeight="1" x14ac:dyDescent="0.35">
      <c r="A2" s="2"/>
      <c r="B2" s="76" t="s">
        <v>3</v>
      </c>
      <c r="C2" s="76"/>
      <c r="D2" s="77"/>
      <c r="E2" s="42" t="s">
        <v>4</v>
      </c>
      <c r="F2" s="43"/>
      <c r="G2" s="21" t="s">
        <v>8</v>
      </c>
      <c r="I2" s="44" t="s">
        <v>5</v>
      </c>
      <c r="J2" s="45"/>
      <c r="K2" s="11" t="s">
        <v>9</v>
      </c>
      <c r="M2" s="46" t="s">
        <v>7</v>
      </c>
      <c r="N2" s="47"/>
      <c r="O2" s="12" t="s">
        <v>10</v>
      </c>
      <c r="Q2" s="46" t="s">
        <v>6</v>
      </c>
      <c r="R2" s="47"/>
      <c r="S2" s="12" t="s">
        <v>0</v>
      </c>
      <c r="T2" s="23"/>
      <c r="U2" s="40"/>
      <c r="V2" s="40"/>
      <c r="W2" s="40"/>
      <c r="X2" s="22"/>
      <c r="AC2" s="2"/>
      <c r="AD2" s="2"/>
      <c r="AE2" s="2"/>
      <c r="AF2" s="2"/>
      <c r="AG2" s="2"/>
      <c r="AH2" s="2"/>
      <c r="AI2" s="2"/>
      <c r="AJ2" s="2"/>
    </row>
    <row r="3" spans="1:36" ht="16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ht="25" customHeight="1" x14ac:dyDescent="0.35">
      <c r="A4" s="2"/>
      <c r="B4" s="25" t="s">
        <v>16</v>
      </c>
      <c r="C4" s="73" t="s">
        <v>79</v>
      </c>
      <c r="D4" s="74"/>
      <c r="E4" s="24">
        <v>1</v>
      </c>
      <c r="F4" s="24">
        <v>2</v>
      </c>
      <c r="G4" s="24">
        <v>3</v>
      </c>
      <c r="H4" s="24">
        <v>4</v>
      </c>
      <c r="I4" s="24">
        <v>5</v>
      </c>
      <c r="J4" s="24">
        <v>6</v>
      </c>
      <c r="K4" s="24">
        <v>7</v>
      </c>
      <c r="L4" s="24">
        <v>8</v>
      </c>
      <c r="M4" s="24">
        <v>9</v>
      </c>
      <c r="N4" s="24">
        <v>10</v>
      </c>
      <c r="O4" s="24">
        <v>11</v>
      </c>
      <c r="P4" s="24">
        <v>12</v>
      </c>
      <c r="Q4" s="24">
        <v>13</v>
      </c>
      <c r="R4" s="24">
        <v>14</v>
      </c>
      <c r="S4" s="24">
        <v>15</v>
      </c>
      <c r="T4" s="24">
        <v>16</v>
      </c>
      <c r="U4" s="24">
        <v>17</v>
      </c>
      <c r="V4" s="24">
        <v>18</v>
      </c>
      <c r="W4" s="24">
        <v>19</v>
      </c>
      <c r="X4" s="24">
        <v>20</v>
      </c>
      <c r="Y4" s="24">
        <v>21</v>
      </c>
      <c r="Z4" s="24">
        <v>22</v>
      </c>
      <c r="AA4" s="24">
        <v>23</v>
      </c>
      <c r="AB4" s="24">
        <v>24</v>
      </c>
      <c r="AC4" s="24">
        <v>25</v>
      </c>
      <c r="AD4" s="24">
        <v>26</v>
      </c>
      <c r="AE4" s="24">
        <v>27</v>
      </c>
      <c r="AF4" s="24">
        <v>28</v>
      </c>
      <c r="AG4" s="24">
        <v>29</v>
      </c>
      <c r="AH4" s="24">
        <v>30</v>
      </c>
      <c r="AI4" s="2"/>
    </row>
    <row r="5" spans="1:36" ht="22" customHeight="1" x14ac:dyDescent="0.35">
      <c r="A5" s="2"/>
      <c r="B5" s="75" t="s">
        <v>22</v>
      </c>
      <c r="C5" s="75"/>
      <c r="D5" s="75"/>
      <c r="E5" s="16" t="s">
        <v>10</v>
      </c>
      <c r="F5" s="16" t="s">
        <v>0</v>
      </c>
      <c r="G5" s="17" t="s">
        <v>8</v>
      </c>
      <c r="H5" s="17" t="s">
        <v>8</v>
      </c>
      <c r="I5" s="17" t="s">
        <v>8</v>
      </c>
      <c r="J5" s="17" t="s">
        <v>8</v>
      </c>
      <c r="K5" s="17" t="s">
        <v>8</v>
      </c>
      <c r="L5" s="19" t="s">
        <v>8</v>
      </c>
      <c r="M5" s="19" t="s">
        <v>9</v>
      </c>
      <c r="N5" s="18" t="s">
        <v>9</v>
      </c>
      <c r="O5" s="18" t="s">
        <v>8</v>
      </c>
      <c r="P5" s="18" t="s">
        <v>9</v>
      </c>
      <c r="Q5" s="18" t="s">
        <v>8</v>
      </c>
      <c r="R5" s="18" t="s">
        <v>8</v>
      </c>
      <c r="S5" s="18" t="s">
        <v>8</v>
      </c>
      <c r="T5" s="18" t="s">
        <v>8</v>
      </c>
      <c r="U5" s="18" t="s">
        <v>9</v>
      </c>
      <c r="V5" s="18" t="s">
        <v>8</v>
      </c>
      <c r="W5" s="18" t="s">
        <v>8</v>
      </c>
      <c r="X5" s="18" t="s">
        <v>8</v>
      </c>
      <c r="Y5" s="18" t="s">
        <v>9</v>
      </c>
      <c r="Z5" s="18" t="s">
        <v>0</v>
      </c>
      <c r="AA5" s="18" t="s">
        <v>0</v>
      </c>
      <c r="AB5" s="18" t="s">
        <v>8</v>
      </c>
      <c r="AC5" s="18" t="s">
        <v>8</v>
      </c>
      <c r="AD5" s="18" t="s">
        <v>8</v>
      </c>
      <c r="AE5" s="18" t="s">
        <v>8</v>
      </c>
      <c r="AF5" s="18" t="s">
        <v>8</v>
      </c>
      <c r="AG5" s="18" t="s">
        <v>8</v>
      </c>
      <c r="AH5" s="18" t="s">
        <v>0</v>
      </c>
      <c r="AI5" s="2"/>
    </row>
    <row r="6" spans="1:36" s="8" customFormat="1" ht="22" customHeight="1" thickBot="1" x14ac:dyDescent="0.3">
      <c r="A6" s="6"/>
      <c r="B6" s="65" t="s">
        <v>18</v>
      </c>
      <c r="C6" s="66"/>
      <c r="D6" s="7" t="s">
        <v>17</v>
      </c>
      <c r="E6" s="67" t="s">
        <v>11</v>
      </c>
      <c r="F6" s="68"/>
      <c r="G6" s="13">
        <f>COUNTIF(E5:AH5,"H")</f>
        <v>20</v>
      </c>
      <c r="H6" s="67" t="s">
        <v>12</v>
      </c>
      <c r="I6" s="68"/>
      <c r="J6" s="13">
        <f>COUNTIF(E5:AH5,"T")</f>
        <v>5</v>
      </c>
      <c r="K6" s="67" t="s">
        <v>13</v>
      </c>
      <c r="L6" s="68"/>
      <c r="M6" s="13">
        <f>COUNTIF(E5:AH5,"A") + COUNTIF(E5:AH5,"I")</f>
        <v>5</v>
      </c>
      <c r="N6" s="67" t="s">
        <v>14</v>
      </c>
      <c r="O6" s="68"/>
      <c r="P6" s="13">
        <f>IF((G6+J6+M6)=0,0,(G6+J6)/(G6+J6+M6)*100)</f>
        <v>83.333333333333343</v>
      </c>
      <c r="Q6" s="67"/>
      <c r="R6" s="68"/>
      <c r="S6" s="13"/>
      <c r="T6" s="67"/>
      <c r="U6" s="68"/>
      <c r="V6" s="14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6"/>
    </row>
    <row r="7" spans="1:36" ht="22" customHeight="1" x14ac:dyDescent="0.25">
      <c r="A7" s="5"/>
      <c r="B7" s="72" t="s">
        <v>23</v>
      </c>
      <c r="C7" s="72"/>
      <c r="D7" s="72"/>
      <c r="E7" s="16" t="s">
        <v>8</v>
      </c>
      <c r="F7" s="16" t="s">
        <v>0</v>
      </c>
      <c r="G7" s="17" t="s">
        <v>8</v>
      </c>
      <c r="H7" s="17" t="s">
        <v>8</v>
      </c>
      <c r="I7" s="17" t="s">
        <v>8</v>
      </c>
      <c r="J7" s="17" t="s">
        <v>8</v>
      </c>
      <c r="K7" s="17" t="s">
        <v>8</v>
      </c>
      <c r="L7" s="19" t="s">
        <v>8</v>
      </c>
      <c r="M7" s="19" t="s">
        <v>9</v>
      </c>
      <c r="N7" s="18" t="s">
        <v>9</v>
      </c>
      <c r="O7" s="18" t="s">
        <v>8</v>
      </c>
      <c r="P7" s="18" t="s">
        <v>9</v>
      </c>
      <c r="Q7" s="18" t="s">
        <v>8</v>
      </c>
      <c r="R7" s="18" t="s">
        <v>8</v>
      </c>
      <c r="S7" s="18" t="s">
        <v>8</v>
      </c>
      <c r="T7" s="18" t="s">
        <v>8</v>
      </c>
      <c r="U7" s="18" t="s">
        <v>9</v>
      </c>
      <c r="V7" s="18" t="s">
        <v>8</v>
      </c>
      <c r="W7" s="18" t="s">
        <v>8</v>
      </c>
      <c r="X7" s="18" t="s">
        <v>8</v>
      </c>
      <c r="Y7" s="18" t="s">
        <v>9</v>
      </c>
      <c r="Z7" s="18" t="s">
        <v>0</v>
      </c>
      <c r="AA7" s="18" t="s">
        <v>0</v>
      </c>
      <c r="AB7" s="18" t="s">
        <v>8</v>
      </c>
      <c r="AC7" s="18" t="s">
        <v>8</v>
      </c>
      <c r="AD7" s="18" t="s">
        <v>8</v>
      </c>
      <c r="AE7" s="18" t="s">
        <v>8</v>
      </c>
      <c r="AF7" s="18" t="s">
        <v>8</v>
      </c>
      <c r="AG7" s="18" t="s">
        <v>8</v>
      </c>
      <c r="AH7" s="18" t="s">
        <v>0</v>
      </c>
      <c r="AI7" s="5"/>
    </row>
    <row r="8" spans="1:36" s="8" customFormat="1" ht="22" customHeight="1" thickBot="1" x14ac:dyDescent="0.3">
      <c r="A8" s="6"/>
      <c r="B8" s="65" t="s">
        <v>18</v>
      </c>
      <c r="C8" s="66"/>
      <c r="D8" s="7" t="s">
        <v>17</v>
      </c>
      <c r="E8" s="67" t="s">
        <v>11</v>
      </c>
      <c r="F8" s="68"/>
      <c r="G8" s="13">
        <f>COUNTIF(E7:AH7,"H")</f>
        <v>21</v>
      </c>
      <c r="H8" s="67" t="s">
        <v>12</v>
      </c>
      <c r="I8" s="68"/>
      <c r="J8" s="13">
        <f>COUNTIF(E7:AH7,"T")</f>
        <v>5</v>
      </c>
      <c r="K8" s="67" t="s">
        <v>13</v>
      </c>
      <c r="L8" s="68"/>
      <c r="M8" s="13">
        <f>COUNTIF(E7:AH7,"A") + COUNTIF(E7:AH7,"I")</f>
        <v>4</v>
      </c>
      <c r="N8" s="67" t="s">
        <v>14</v>
      </c>
      <c r="O8" s="68"/>
      <c r="P8" s="13">
        <f>IF((G8+J8+M8)=0,0,(G8+J8)/(G8+J8+M8)*100)</f>
        <v>86.666666666666671</v>
      </c>
      <c r="Q8" s="67"/>
      <c r="R8" s="68"/>
      <c r="S8" s="13"/>
      <c r="T8" s="67"/>
      <c r="U8" s="68"/>
      <c r="V8" s="14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6"/>
    </row>
    <row r="9" spans="1:36" ht="22" customHeight="1" x14ac:dyDescent="0.35">
      <c r="A9" s="2"/>
      <c r="B9" s="72" t="s">
        <v>24</v>
      </c>
      <c r="C9" s="72"/>
      <c r="D9" s="72"/>
      <c r="E9" s="16" t="s">
        <v>8</v>
      </c>
      <c r="F9" s="16" t="s">
        <v>8</v>
      </c>
      <c r="G9" s="17" t="s">
        <v>8</v>
      </c>
      <c r="H9" s="17" t="s">
        <v>8</v>
      </c>
      <c r="I9" s="17" t="s">
        <v>0</v>
      </c>
      <c r="J9" s="17" t="s">
        <v>8</v>
      </c>
      <c r="K9" s="17" t="s">
        <v>9</v>
      </c>
      <c r="L9" s="19" t="s">
        <v>8</v>
      </c>
      <c r="M9" s="19" t="s">
        <v>9</v>
      </c>
      <c r="N9" s="18" t="s">
        <v>8</v>
      </c>
      <c r="O9" s="18" t="s">
        <v>8</v>
      </c>
      <c r="P9" s="18" t="s">
        <v>9</v>
      </c>
      <c r="Q9" s="18" t="s">
        <v>8</v>
      </c>
      <c r="R9" s="18" t="s">
        <v>8</v>
      </c>
      <c r="S9" s="18" t="s">
        <v>9</v>
      </c>
      <c r="T9" s="18" t="s">
        <v>9</v>
      </c>
      <c r="U9" s="18" t="s">
        <v>9</v>
      </c>
      <c r="V9" s="18" t="s">
        <v>0</v>
      </c>
      <c r="W9" s="18" t="s">
        <v>8</v>
      </c>
      <c r="X9" s="18" t="s">
        <v>8</v>
      </c>
      <c r="Y9" s="18" t="s">
        <v>9</v>
      </c>
      <c r="Z9" s="18" t="s">
        <v>0</v>
      </c>
      <c r="AA9" s="18" t="s">
        <v>0</v>
      </c>
      <c r="AB9" s="18" t="s">
        <v>8</v>
      </c>
      <c r="AC9" s="18" t="s">
        <v>8</v>
      </c>
      <c r="AD9" s="18" t="s">
        <v>8</v>
      </c>
      <c r="AE9" s="18" t="s">
        <v>8</v>
      </c>
      <c r="AF9" s="18" t="s">
        <v>8</v>
      </c>
      <c r="AG9" s="18" t="s">
        <v>8</v>
      </c>
      <c r="AH9" s="18" t="s">
        <v>0</v>
      </c>
      <c r="AI9" s="2"/>
    </row>
    <row r="10" spans="1:36" s="8" customFormat="1" ht="22" customHeight="1" thickBot="1" x14ac:dyDescent="0.3">
      <c r="A10" s="6"/>
      <c r="B10" s="65" t="s">
        <v>18</v>
      </c>
      <c r="C10" s="66"/>
      <c r="D10" s="7" t="s">
        <v>17</v>
      </c>
      <c r="E10" s="67" t="s">
        <v>11</v>
      </c>
      <c r="F10" s="68"/>
      <c r="G10" s="13">
        <f>COUNTIF(E9:AH9,"H")</f>
        <v>18</v>
      </c>
      <c r="H10" s="67" t="s">
        <v>12</v>
      </c>
      <c r="I10" s="68"/>
      <c r="J10" s="13">
        <f>COUNTIF(E9:AH9,"T")</f>
        <v>7</v>
      </c>
      <c r="K10" s="67" t="s">
        <v>13</v>
      </c>
      <c r="L10" s="68"/>
      <c r="M10" s="13">
        <f>COUNTIF(E9:AH9,"A") + COUNTIF(E9:AH9,"I")</f>
        <v>5</v>
      </c>
      <c r="N10" s="67" t="s">
        <v>14</v>
      </c>
      <c r="O10" s="68"/>
      <c r="P10" s="13">
        <f>IF((G10+J10+M10)=0,0,(G10+J10)/(G10+J10+M10)*100)</f>
        <v>83.333333333333343</v>
      </c>
      <c r="Q10" s="67"/>
      <c r="R10" s="68"/>
      <c r="S10" s="13"/>
      <c r="T10" s="67"/>
      <c r="U10" s="68"/>
      <c r="V10" s="14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6"/>
    </row>
    <row r="11" spans="1:36" s="10" customFormat="1" ht="22" customHeight="1" x14ac:dyDescent="0.25">
      <c r="A11" s="9"/>
      <c r="B11" s="72" t="s">
        <v>25</v>
      </c>
      <c r="C11" s="72"/>
      <c r="D11" s="72"/>
      <c r="E11" s="16" t="s">
        <v>8</v>
      </c>
      <c r="F11" s="16" t="s">
        <v>0</v>
      </c>
      <c r="G11" s="17" t="s">
        <v>8</v>
      </c>
      <c r="H11" s="17" t="s">
        <v>8</v>
      </c>
      <c r="I11" s="17" t="s">
        <v>8</v>
      </c>
      <c r="J11" s="17" t="s">
        <v>8</v>
      </c>
      <c r="K11" s="17" t="s">
        <v>8</v>
      </c>
      <c r="L11" s="19" t="s">
        <v>8</v>
      </c>
      <c r="M11" s="19" t="s">
        <v>8</v>
      </c>
      <c r="N11" s="18" t="s">
        <v>8</v>
      </c>
      <c r="O11" s="18" t="s">
        <v>8</v>
      </c>
      <c r="P11" s="18" t="s">
        <v>8</v>
      </c>
      <c r="Q11" s="18" t="s">
        <v>8</v>
      </c>
      <c r="R11" s="18" t="s">
        <v>8</v>
      </c>
      <c r="S11" s="18" t="s">
        <v>8</v>
      </c>
      <c r="T11" s="18" t="s">
        <v>8</v>
      </c>
      <c r="U11" s="18" t="s">
        <v>9</v>
      </c>
      <c r="V11" s="18" t="s">
        <v>8</v>
      </c>
      <c r="W11" s="18" t="s">
        <v>8</v>
      </c>
      <c r="X11" s="18" t="s">
        <v>8</v>
      </c>
      <c r="Y11" s="18" t="s">
        <v>8</v>
      </c>
      <c r="Z11" s="18" t="s">
        <v>8</v>
      </c>
      <c r="AA11" s="18" t="s">
        <v>8</v>
      </c>
      <c r="AB11" s="18" t="s">
        <v>8</v>
      </c>
      <c r="AC11" s="18" t="s">
        <v>8</v>
      </c>
      <c r="AD11" s="18" t="s">
        <v>8</v>
      </c>
      <c r="AE11" s="18" t="s">
        <v>8</v>
      </c>
      <c r="AF11" s="18" t="s">
        <v>8</v>
      </c>
      <c r="AG11" s="18" t="s">
        <v>8</v>
      </c>
      <c r="AH11" s="18" t="s">
        <v>0</v>
      </c>
      <c r="AI11" s="9"/>
    </row>
    <row r="12" spans="1:36" s="8" customFormat="1" ht="22" customHeight="1" thickBot="1" x14ac:dyDescent="0.3">
      <c r="A12" s="6"/>
      <c r="B12" s="65" t="s">
        <v>18</v>
      </c>
      <c r="C12" s="66"/>
      <c r="D12" s="7" t="s">
        <v>17</v>
      </c>
      <c r="E12" s="67" t="s">
        <v>11</v>
      </c>
      <c r="F12" s="68"/>
      <c r="G12" s="13">
        <f>COUNTIF(E11:AH11,"H")</f>
        <v>27</v>
      </c>
      <c r="H12" s="67" t="s">
        <v>12</v>
      </c>
      <c r="I12" s="68"/>
      <c r="J12" s="13">
        <f>COUNTIF(E11:AH11,"T")</f>
        <v>1</v>
      </c>
      <c r="K12" s="67" t="s">
        <v>13</v>
      </c>
      <c r="L12" s="68"/>
      <c r="M12" s="13">
        <f>COUNTIF(E11:AH11,"A") + COUNTIF(E11:AH11,"I")</f>
        <v>2</v>
      </c>
      <c r="N12" s="67" t="s">
        <v>14</v>
      </c>
      <c r="O12" s="68"/>
      <c r="P12" s="13">
        <f>IF((G12+J12+M12)=0,0,(G12+J12)/(G12+J12+M12)*100)</f>
        <v>93.333333333333329</v>
      </c>
      <c r="Q12" s="67"/>
      <c r="R12" s="68"/>
      <c r="S12" s="13"/>
      <c r="T12" s="67"/>
      <c r="U12" s="68"/>
      <c r="V12" s="14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6"/>
    </row>
    <row r="13" spans="1:36" s="10" customFormat="1" ht="22" customHeight="1" x14ac:dyDescent="0.25">
      <c r="A13" s="9"/>
      <c r="B13" s="72" t="s">
        <v>26</v>
      </c>
      <c r="C13" s="72"/>
      <c r="D13" s="72"/>
      <c r="E13" s="16" t="s">
        <v>8</v>
      </c>
      <c r="F13" s="16" t="s">
        <v>8</v>
      </c>
      <c r="G13" s="17" t="s">
        <v>8</v>
      </c>
      <c r="H13" s="17" t="s">
        <v>8</v>
      </c>
      <c r="I13" s="17" t="s">
        <v>8</v>
      </c>
      <c r="J13" s="17" t="s">
        <v>0</v>
      </c>
      <c r="K13" s="17" t="s">
        <v>8</v>
      </c>
      <c r="L13" s="19" t="s">
        <v>8</v>
      </c>
      <c r="M13" s="19" t="s">
        <v>8</v>
      </c>
      <c r="N13" s="18" t="s">
        <v>8</v>
      </c>
      <c r="O13" s="18" t="s">
        <v>8</v>
      </c>
      <c r="P13" s="18" t="s">
        <v>9</v>
      </c>
      <c r="Q13" s="18" t="s">
        <v>8</v>
      </c>
      <c r="R13" s="18" t="s">
        <v>8</v>
      </c>
      <c r="S13" s="18" t="s">
        <v>8</v>
      </c>
      <c r="T13" s="18" t="s">
        <v>0</v>
      </c>
      <c r="U13" s="18" t="s">
        <v>9</v>
      </c>
      <c r="V13" s="18" t="s">
        <v>8</v>
      </c>
      <c r="W13" s="18" t="s">
        <v>8</v>
      </c>
      <c r="X13" s="18" t="s">
        <v>0</v>
      </c>
      <c r="Y13" s="18" t="s">
        <v>9</v>
      </c>
      <c r="Z13" s="18" t="s">
        <v>8</v>
      </c>
      <c r="AA13" s="18" t="s">
        <v>8</v>
      </c>
      <c r="AB13" s="18" t="s">
        <v>8</v>
      </c>
      <c r="AC13" s="18" t="s">
        <v>8</v>
      </c>
      <c r="AD13" s="18" t="s">
        <v>8</v>
      </c>
      <c r="AE13" s="18" t="s">
        <v>8</v>
      </c>
      <c r="AF13" s="18" t="s">
        <v>8</v>
      </c>
      <c r="AG13" s="18" t="s">
        <v>8</v>
      </c>
      <c r="AH13" s="18" t="s">
        <v>0</v>
      </c>
      <c r="AI13" s="9"/>
    </row>
    <row r="14" spans="1:36" s="8" customFormat="1" ht="22" customHeight="1" thickBot="1" x14ac:dyDescent="0.3">
      <c r="A14" s="6"/>
      <c r="B14" s="65" t="s">
        <v>18</v>
      </c>
      <c r="C14" s="66"/>
      <c r="D14" s="7" t="s">
        <v>17</v>
      </c>
      <c r="E14" s="67" t="s">
        <v>11</v>
      </c>
      <c r="F14" s="68"/>
      <c r="G14" s="13">
        <f>COUNTIF(E13:AH13,"H")</f>
        <v>23</v>
      </c>
      <c r="H14" s="67" t="s">
        <v>12</v>
      </c>
      <c r="I14" s="68"/>
      <c r="J14" s="13">
        <f>COUNTIF(E13:AH13,"T")</f>
        <v>3</v>
      </c>
      <c r="K14" s="67" t="s">
        <v>13</v>
      </c>
      <c r="L14" s="68"/>
      <c r="M14" s="13">
        <f>COUNTIF(E13:AH13,"A") + COUNTIF(E13:AH13,"I")</f>
        <v>4</v>
      </c>
      <c r="N14" s="67" t="s">
        <v>14</v>
      </c>
      <c r="O14" s="68"/>
      <c r="P14" s="13">
        <f>IF((G14+J14+M14)=0,0,(G14+J14)/(G14+J14+M14)*100)</f>
        <v>86.666666666666671</v>
      </c>
      <c r="Q14" s="67"/>
      <c r="R14" s="68"/>
      <c r="S14" s="13"/>
      <c r="T14" s="67"/>
      <c r="U14" s="68"/>
      <c r="V14" s="14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6"/>
    </row>
    <row r="15" spans="1:36" s="10" customFormat="1" ht="22" customHeight="1" x14ac:dyDescent="0.25">
      <c r="A15" s="9"/>
      <c r="B15" s="72" t="s">
        <v>27</v>
      </c>
      <c r="C15" s="72"/>
      <c r="D15" s="72"/>
      <c r="E15" s="16" t="s">
        <v>8</v>
      </c>
      <c r="F15" s="16" t="s">
        <v>0</v>
      </c>
      <c r="G15" s="17" t="s">
        <v>8</v>
      </c>
      <c r="H15" s="17" t="s">
        <v>8</v>
      </c>
      <c r="I15" s="17" t="s">
        <v>8</v>
      </c>
      <c r="J15" s="17" t="s">
        <v>8</v>
      </c>
      <c r="K15" s="17" t="s">
        <v>8</v>
      </c>
      <c r="L15" s="19" t="s">
        <v>8</v>
      </c>
      <c r="M15" s="19" t="s">
        <v>9</v>
      </c>
      <c r="N15" s="18" t="s">
        <v>9</v>
      </c>
      <c r="O15" s="18" t="s">
        <v>8</v>
      </c>
      <c r="P15" s="18" t="s">
        <v>9</v>
      </c>
      <c r="Q15" s="18" t="s">
        <v>8</v>
      </c>
      <c r="R15" s="18" t="s">
        <v>8</v>
      </c>
      <c r="S15" s="18" t="s">
        <v>8</v>
      </c>
      <c r="T15" s="18" t="s">
        <v>8</v>
      </c>
      <c r="U15" s="18" t="s">
        <v>9</v>
      </c>
      <c r="V15" s="18" t="s">
        <v>8</v>
      </c>
      <c r="W15" s="18" t="s">
        <v>8</v>
      </c>
      <c r="X15" s="18" t="s">
        <v>8</v>
      </c>
      <c r="Y15" s="18" t="s">
        <v>9</v>
      </c>
      <c r="Z15" s="18" t="s">
        <v>0</v>
      </c>
      <c r="AA15" s="18" t="s">
        <v>0</v>
      </c>
      <c r="AB15" s="18" t="s">
        <v>8</v>
      </c>
      <c r="AC15" s="18" t="s">
        <v>8</v>
      </c>
      <c r="AD15" s="18" t="s">
        <v>8</v>
      </c>
      <c r="AE15" s="18" t="s">
        <v>8</v>
      </c>
      <c r="AF15" s="18" t="s">
        <v>8</v>
      </c>
      <c r="AG15" s="18" t="s">
        <v>8</v>
      </c>
      <c r="AH15" s="18" t="s">
        <v>0</v>
      </c>
      <c r="AI15" s="9"/>
    </row>
    <row r="16" spans="1:36" s="8" customFormat="1" ht="22" customHeight="1" thickBot="1" x14ac:dyDescent="0.3">
      <c r="A16" s="6"/>
      <c r="B16" s="65" t="s">
        <v>18</v>
      </c>
      <c r="C16" s="66"/>
      <c r="D16" s="7" t="s">
        <v>17</v>
      </c>
      <c r="E16" s="67" t="s">
        <v>11</v>
      </c>
      <c r="F16" s="68"/>
      <c r="G16" s="13">
        <f>COUNTIF(E15:AH15,"H")</f>
        <v>21</v>
      </c>
      <c r="H16" s="67" t="s">
        <v>12</v>
      </c>
      <c r="I16" s="68"/>
      <c r="J16" s="13">
        <f>COUNTIF(E15:AH15,"T")</f>
        <v>5</v>
      </c>
      <c r="K16" s="67" t="s">
        <v>13</v>
      </c>
      <c r="L16" s="68"/>
      <c r="M16" s="13">
        <f>COUNTIF(E15:AH15,"A") + COUNTIF(E15:AH15,"I")</f>
        <v>4</v>
      </c>
      <c r="N16" s="67" t="s">
        <v>14</v>
      </c>
      <c r="O16" s="68"/>
      <c r="P16" s="13">
        <f>IF((G16+J16+M16)=0,0,(G16+J16)/(G16+J16+M16)*100)</f>
        <v>86.666666666666671</v>
      </c>
      <c r="Q16" s="67"/>
      <c r="R16" s="68"/>
      <c r="S16" s="13"/>
      <c r="T16" s="67"/>
      <c r="U16" s="68"/>
      <c r="V16" s="14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6"/>
    </row>
    <row r="17" spans="1:35" s="10" customFormat="1" ht="22" customHeight="1" x14ac:dyDescent="0.25">
      <c r="A17" s="9"/>
      <c r="B17" s="72" t="s">
        <v>28</v>
      </c>
      <c r="C17" s="72"/>
      <c r="D17" s="72"/>
      <c r="E17" s="16" t="s">
        <v>8</v>
      </c>
      <c r="F17" s="16" t="s">
        <v>0</v>
      </c>
      <c r="G17" s="17" t="s">
        <v>8</v>
      </c>
      <c r="H17" s="17" t="s">
        <v>8</v>
      </c>
      <c r="I17" s="17" t="s">
        <v>8</v>
      </c>
      <c r="J17" s="17" t="s">
        <v>8</v>
      </c>
      <c r="K17" s="17" t="s">
        <v>8</v>
      </c>
      <c r="L17" s="19" t="s">
        <v>8</v>
      </c>
      <c r="M17" s="19" t="s">
        <v>9</v>
      </c>
      <c r="N17" s="18" t="s">
        <v>9</v>
      </c>
      <c r="O17" s="18" t="s">
        <v>8</v>
      </c>
      <c r="P17" s="18" t="s">
        <v>9</v>
      </c>
      <c r="Q17" s="18" t="s">
        <v>8</v>
      </c>
      <c r="R17" s="18" t="s">
        <v>8</v>
      </c>
      <c r="S17" s="18" t="s">
        <v>8</v>
      </c>
      <c r="T17" s="18" t="s">
        <v>8</v>
      </c>
      <c r="U17" s="18" t="s">
        <v>9</v>
      </c>
      <c r="V17" s="18" t="s">
        <v>8</v>
      </c>
      <c r="W17" s="18" t="s">
        <v>8</v>
      </c>
      <c r="X17" s="18" t="s">
        <v>8</v>
      </c>
      <c r="Y17" s="18" t="s">
        <v>9</v>
      </c>
      <c r="Z17" s="18" t="s">
        <v>0</v>
      </c>
      <c r="AA17" s="18" t="s">
        <v>0</v>
      </c>
      <c r="AB17" s="18" t="s">
        <v>8</v>
      </c>
      <c r="AC17" s="18" t="s">
        <v>8</v>
      </c>
      <c r="AD17" s="18" t="s">
        <v>8</v>
      </c>
      <c r="AE17" s="18" t="s">
        <v>8</v>
      </c>
      <c r="AF17" s="18" t="s">
        <v>8</v>
      </c>
      <c r="AG17" s="18" t="s">
        <v>8</v>
      </c>
      <c r="AH17" s="18" t="s">
        <v>0</v>
      </c>
      <c r="AI17" s="9"/>
    </row>
    <row r="18" spans="1:35" s="8" customFormat="1" ht="22" customHeight="1" thickBot="1" x14ac:dyDescent="0.3">
      <c r="A18" s="6"/>
      <c r="B18" s="65" t="s">
        <v>18</v>
      </c>
      <c r="C18" s="66"/>
      <c r="D18" s="7" t="s">
        <v>17</v>
      </c>
      <c r="E18" s="67" t="s">
        <v>11</v>
      </c>
      <c r="F18" s="68"/>
      <c r="G18" s="13">
        <f>COUNTIF(E17:AH17,"H")</f>
        <v>21</v>
      </c>
      <c r="H18" s="67" t="s">
        <v>12</v>
      </c>
      <c r="I18" s="68"/>
      <c r="J18" s="13">
        <f>COUNTIF(E17:AH17,"T")</f>
        <v>5</v>
      </c>
      <c r="K18" s="67" t="s">
        <v>13</v>
      </c>
      <c r="L18" s="68"/>
      <c r="M18" s="13">
        <f>COUNTIF(E17:AH17,"A") + COUNTIF(E17:AH17,"I")</f>
        <v>4</v>
      </c>
      <c r="N18" s="67" t="s">
        <v>14</v>
      </c>
      <c r="O18" s="68"/>
      <c r="P18" s="13">
        <f>IF((G18+J18+M18)=0,0,(G18+J18)/(G18+J18+M18)*100)</f>
        <v>86.666666666666671</v>
      </c>
      <c r="Q18" s="67"/>
      <c r="R18" s="68"/>
      <c r="S18" s="13"/>
      <c r="T18" s="67"/>
      <c r="U18" s="68"/>
      <c r="V18" s="14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6"/>
    </row>
    <row r="19" spans="1:35" s="10" customFormat="1" ht="22" customHeight="1" x14ac:dyDescent="0.25">
      <c r="A19" s="9"/>
      <c r="B19" s="72" t="s">
        <v>29</v>
      </c>
      <c r="C19" s="72"/>
      <c r="D19" s="72"/>
      <c r="E19" s="16" t="s">
        <v>8</v>
      </c>
      <c r="F19" s="16" t="s">
        <v>0</v>
      </c>
      <c r="G19" s="17" t="s">
        <v>8</v>
      </c>
      <c r="H19" s="17" t="s">
        <v>8</v>
      </c>
      <c r="I19" s="17" t="s">
        <v>8</v>
      </c>
      <c r="J19" s="17" t="s">
        <v>8</v>
      </c>
      <c r="K19" s="17" t="s">
        <v>8</v>
      </c>
      <c r="L19" s="19" t="s">
        <v>8</v>
      </c>
      <c r="M19" s="19" t="s">
        <v>9</v>
      </c>
      <c r="N19" s="18" t="s">
        <v>9</v>
      </c>
      <c r="O19" s="18" t="s">
        <v>8</v>
      </c>
      <c r="P19" s="18" t="s">
        <v>9</v>
      </c>
      <c r="Q19" s="18" t="s">
        <v>8</v>
      </c>
      <c r="R19" s="18" t="s">
        <v>8</v>
      </c>
      <c r="S19" s="18" t="s">
        <v>8</v>
      </c>
      <c r="T19" s="18" t="s">
        <v>8</v>
      </c>
      <c r="U19" s="18" t="s">
        <v>9</v>
      </c>
      <c r="V19" s="18" t="s">
        <v>8</v>
      </c>
      <c r="W19" s="18" t="s">
        <v>8</v>
      </c>
      <c r="X19" s="18" t="s">
        <v>8</v>
      </c>
      <c r="Y19" s="18" t="s">
        <v>9</v>
      </c>
      <c r="Z19" s="18" t="s">
        <v>0</v>
      </c>
      <c r="AA19" s="18" t="s">
        <v>0</v>
      </c>
      <c r="AB19" s="18" t="s">
        <v>8</v>
      </c>
      <c r="AC19" s="18" t="s">
        <v>8</v>
      </c>
      <c r="AD19" s="18" t="s">
        <v>8</v>
      </c>
      <c r="AE19" s="18" t="s">
        <v>8</v>
      </c>
      <c r="AF19" s="18" t="s">
        <v>8</v>
      </c>
      <c r="AG19" s="18" t="s">
        <v>8</v>
      </c>
      <c r="AH19" s="18" t="s">
        <v>0</v>
      </c>
      <c r="AI19" s="9"/>
    </row>
    <row r="20" spans="1:35" s="8" customFormat="1" ht="22" customHeight="1" thickBot="1" x14ac:dyDescent="0.3">
      <c r="A20" s="6"/>
      <c r="B20" s="65" t="s">
        <v>18</v>
      </c>
      <c r="C20" s="66"/>
      <c r="D20" s="7" t="s">
        <v>17</v>
      </c>
      <c r="E20" s="67" t="s">
        <v>11</v>
      </c>
      <c r="F20" s="68"/>
      <c r="G20" s="13">
        <f>COUNTIF(E19:AH19,"H")</f>
        <v>21</v>
      </c>
      <c r="H20" s="67" t="s">
        <v>12</v>
      </c>
      <c r="I20" s="68"/>
      <c r="J20" s="13">
        <f>COUNTIF(E19:AH19,"T")</f>
        <v>5</v>
      </c>
      <c r="K20" s="67" t="s">
        <v>13</v>
      </c>
      <c r="L20" s="68"/>
      <c r="M20" s="13">
        <f>COUNTIF(E19:AH19,"A") + COUNTIF(E19:AH19,"I")</f>
        <v>4</v>
      </c>
      <c r="N20" s="67" t="s">
        <v>14</v>
      </c>
      <c r="O20" s="68"/>
      <c r="P20" s="13">
        <f>IF((G20+J20+M20)=0,0,(G20+J20)/(G20+J20+M20)*100)</f>
        <v>86.666666666666671</v>
      </c>
      <c r="Q20" s="67"/>
      <c r="R20" s="68"/>
      <c r="S20" s="13"/>
      <c r="T20" s="67"/>
      <c r="U20" s="68"/>
      <c r="V20" s="14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6"/>
    </row>
    <row r="21" spans="1:35" ht="22" customHeight="1" x14ac:dyDescent="0.35">
      <c r="A21" s="2"/>
      <c r="B21" s="72" t="s">
        <v>30</v>
      </c>
      <c r="C21" s="72"/>
      <c r="D21" s="72"/>
      <c r="E21" s="16" t="s">
        <v>8</v>
      </c>
      <c r="F21" s="16" t="s">
        <v>0</v>
      </c>
      <c r="G21" s="17" t="s">
        <v>8</v>
      </c>
      <c r="H21" s="17" t="s">
        <v>8</v>
      </c>
      <c r="I21" s="17" t="s">
        <v>8</v>
      </c>
      <c r="J21" s="17" t="s">
        <v>8</v>
      </c>
      <c r="K21" s="17" t="s">
        <v>8</v>
      </c>
      <c r="L21" s="19" t="s">
        <v>8</v>
      </c>
      <c r="M21" s="19" t="s">
        <v>9</v>
      </c>
      <c r="N21" s="18" t="s">
        <v>9</v>
      </c>
      <c r="O21" s="18" t="s">
        <v>8</v>
      </c>
      <c r="P21" s="18" t="s">
        <v>9</v>
      </c>
      <c r="Q21" s="18" t="s">
        <v>8</v>
      </c>
      <c r="R21" s="18" t="s">
        <v>8</v>
      </c>
      <c r="S21" s="18" t="s">
        <v>8</v>
      </c>
      <c r="T21" s="18" t="s">
        <v>8</v>
      </c>
      <c r="U21" s="18" t="s">
        <v>9</v>
      </c>
      <c r="V21" s="18" t="s">
        <v>8</v>
      </c>
      <c r="W21" s="18" t="s">
        <v>8</v>
      </c>
      <c r="X21" s="18" t="s">
        <v>8</v>
      </c>
      <c r="Y21" s="18" t="s">
        <v>9</v>
      </c>
      <c r="Z21" s="18" t="s">
        <v>0</v>
      </c>
      <c r="AA21" s="18" t="s">
        <v>0</v>
      </c>
      <c r="AB21" s="18" t="s">
        <v>8</v>
      </c>
      <c r="AC21" s="18" t="s">
        <v>8</v>
      </c>
      <c r="AD21" s="18" t="s">
        <v>8</v>
      </c>
      <c r="AE21" s="18" t="s">
        <v>8</v>
      </c>
      <c r="AF21" s="18" t="s">
        <v>8</v>
      </c>
      <c r="AG21" s="18" t="s">
        <v>8</v>
      </c>
      <c r="AH21" s="18" t="s">
        <v>0</v>
      </c>
      <c r="AI21" s="2"/>
    </row>
    <row r="22" spans="1:35" s="8" customFormat="1" ht="22" customHeight="1" thickBot="1" x14ac:dyDescent="0.3">
      <c r="A22" s="6"/>
      <c r="B22" s="65" t="s">
        <v>18</v>
      </c>
      <c r="C22" s="66"/>
      <c r="D22" s="7" t="s">
        <v>17</v>
      </c>
      <c r="E22" s="67" t="s">
        <v>11</v>
      </c>
      <c r="F22" s="68"/>
      <c r="G22" s="13">
        <f>COUNTIF(E21:AH21,"H")</f>
        <v>21</v>
      </c>
      <c r="H22" s="67" t="s">
        <v>12</v>
      </c>
      <c r="I22" s="68"/>
      <c r="J22" s="13">
        <f>COUNTIF(E21:AH21,"T")</f>
        <v>5</v>
      </c>
      <c r="K22" s="67" t="s">
        <v>13</v>
      </c>
      <c r="L22" s="68"/>
      <c r="M22" s="13">
        <f>COUNTIF(E21:AH21,"A") + COUNTIF(E21:AH21,"I")</f>
        <v>4</v>
      </c>
      <c r="N22" s="67" t="s">
        <v>14</v>
      </c>
      <c r="O22" s="68"/>
      <c r="P22" s="13">
        <f>IF((G22+J22+M22)=0,0,(G22+J22)/(G22+J22+M22)*100)</f>
        <v>86.666666666666671</v>
      </c>
      <c r="Q22" s="67"/>
      <c r="R22" s="68"/>
      <c r="S22" s="13"/>
      <c r="T22" s="67"/>
      <c r="U22" s="68"/>
      <c r="V22" s="14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6"/>
    </row>
    <row r="23" spans="1:35" ht="22" customHeight="1" x14ac:dyDescent="0.35">
      <c r="A23" s="2"/>
      <c r="B23" s="72" t="s">
        <v>31</v>
      </c>
      <c r="C23" s="72"/>
      <c r="D23" s="72"/>
      <c r="E23" s="16" t="s">
        <v>8</v>
      </c>
      <c r="F23" s="16" t="s">
        <v>0</v>
      </c>
      <c r="G23" s="17" t="s">
        <v>8</v>
      </c>
      <c r="H23" s="17" t="s">
        <v>8</v>
      </c>
      <c r="I23" s="17" t="s">
        <v>8</v>
      </c>
      <c r="J23" s="17" t="s">
        <v>8</v>
      </c>
      <c r="K23" s="17" t="s">
        <v>8</v>
      </c>
      <c r="L23" s="19" t="s">
        <v>8</v>
      </c>
      <c r="M23" s="19" t="s">
        <v>9</v>
      </c>
      <c r="N23" s="18" t="s">
        <v>9</v>
      </c>
      <c r="O23" s="18" t="s">
        <v>8</v>
      </c>
      <c r="P23" s="18" t="s">
        <v>9</v>
      </c>
      <c r="Q23" s="18" t="s">
        <v>8</v>
      </c>
      <c r="R23" s="18" t="s">
        <v>8</v>
      </c>
      <c r="S23" s="18" t="s">
        <v>8</v>
      </c>
      <c r="T23" s="18" t="s">
        <v>8</v>
      </c>
      <c r="U23" s="18" t="s">
        <v>9</v>
      </c>
      <c r="V23" s="18" t="s">
        <v>8</v>
      </c>
      <c r="W23" s="18" t="s">
        <v>8</v>
      </c>
      <c r="X23" s="18" t="s">
        <v>8</v>
      </c>
      <c r="Y23" s="18" t="s">
        <v>9</v>
      </c>
      <c r="Z23" s="18" t="s">
        <v>0</v>
      </c>
      <c r="AA23" s="18" t="s">
        <v>0</v>
      </c>
      <c r="AB23" s="18" t="s">
        <v>8</v>
      </c>
      <c r="AC23" s="18" t="s">
        <v>8</v>
      </c>
      <c r="AD23" s="18" t="s">
        <v>8</v>
      </c>
      <c r="AE23" s="18" t="s">
        <v>8</v>
      </c>
      <c r="AF23" s="18" t="s">
        <v>8</v>
      </c>
      <c r="AG23" s="18" t="s">
        <v>8</v>
      </c>
      <c r="AH23" s="18" t="s">
        <v>0</v>
      </c>
      <c r="AI23" s="2"/>
    </row>
    <row r="24" spans="1:35" s="8" customFormat="1" ht="22" customHeight="1" thickBot="1" x14ac:dyDescent="0.3">
      <c r="A24" s="6"/>
      <c r="B24" s="65" t="s">
        <v>18</v>
      </c>
      <c r="C24" s="66"/>
      <c r="D24" s="7" t="s">
        <v>17</v>
      </c>
      <c r="E24" s="67" t="s">
        <v>11</v>
      </c>
      <c r="F24" s="68"/>
      <c r="G24" s="13">
        <f>COUNTIF(E23:AH23,"H")</f>
        <v>21</v>
      </c>
      <c r="H24" s="67" t="s">
        <v>12</v>
      </c>
      <c r="I24" s="68"/>
      <c r="J24" s="13">
        <f>COUNTIF(E23:AH23,"T")</f>
        <v>5</v>
      </c>
      <c r="K24" s="67" t="s">
        <v>13</v>
      </c>
      <c r="L24" s="68"/>
      <c r="M24" s="13">
        <f>COUNTIF(E23:AH23,"A") + COUNTIF(E23:AH23,"I")</f>
        <v>4</v>
      </c>
      <c r="N24" s="67" t="s">
        <v>14</v>
      </c>
      <c r="O24" s="68"/>
      <c r="P24" s="13">
        <f>IF((G24+J24+M24)=0,0,(G24+J24)/(G24+J24+M24)*100)</f>
        <v>86.666666666666671</v>
      </c>
      <c r="Q24" s="67"/>
      <c r="R24" s="68"/>
      <c r="S24" s="13"/>
      <c r="T24" s="67"/>
      <c r="U24" s="68"/>
      <c r="V24" s="14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6"/>
    </row>
    <row r="25" spans="1:35" s="10" customFormat="1" ht="22" customHeight="1" x14ac:dyDescent="0.25">
      <c r="A25" s="9"/>
      <c r="B25" s="72" t="s">
        <v>32</v>
      </c>
      <c r="C25" s="72"/>
      <c r="D25" s="72"/>
      <c r="E25" s="16" t="s">
        <v>8</v>
      </c>
      <c r="F25" s="16" t="s">
        <v>0</v>
      </c>
      <c r="G25" s="17" t="s">
        <v>8</v>
      </c>
      <c r="H25" s="17" t="s">
        <v>8</v>
      </c>
      <c r="I25" s="17" t="s">
        <v>8</v>
      </c>
      <c r="J25" s="17" t="s">
        <v>8</v>
      </c>
      <c r="K25" s="17" t="s">
        <v>8</v>
      </c>
      <c r="L25" s="19" t="s">
        <v>8</v>
      </c>
      <c r="M25" s="19" t="s">
        <v>9</v>
      </c>
      <c r="N25" s="18" t="s">
        <v>9</v>
      </c>
      <c r="O25" s="18" t="s">
        <v>8</v>
      </c>
      <c r="P25" s="18" t="s">
        <v>9</v>
      </c>
      <c r="Q25" s="18" t="s">
        <v>8</v>
      </c>
      <c r="R25" s="18" t="s">
        <v>8</v>
      </c>
      <c r="S25" s="18" t="s">
        <v>8</v>
      </c>
      <c r="T25" s="18" t="s">
        <v>8</v>
      </c>
      <c r="U25" s="18" t="s">
        <v>9</v>
      </c>
      <c r="V25" s="18" t="s">
        <v>8</v>
      </c>
      <c r="W25" s="18" t="s">
        <v>8</v>
      </c>
      <c r="X25" s="18" t="s">
        <v>8</v>
      </c>
      <c r="Y25" s="18" t="s">
        <v>9</v>
      </c>
      <c r="Z25" s="18" t="s">
        <v>0</v>
      </c>
      <c r="AA25" s="18" t="s">
        <v>0</v>
      </c>
      <c r="AB25" s="18" t="s">
        <v>8</v>
      </c>
      <c r="AC25" s="18" t="s">
        <v>8</v>
      </c>
      <c r="AD25" s="18" t="s">
        <v>8</v>
      </c>
      <c r="AE25" s="18" t="s">
        <v>8</v>
      </c>
      <c r="AF25" s="18" t="s">
        <v>8</v>
      </c>
      <c r="AG25" s="18" t="s">
        <v>8</v>
      </c>
      <c r="AH25" s="18" t="s">
        <v>0</v>
      </c>
      <c r="AI25" s="9"/>
    </row>
    <row r="26" spans="1:35" s="8" customFormat="1" ht="22" customHeight="1" thickBot="1" x14ac:dyDescent="0.3">
      <c r="A26" s="6"/>
      <c r="B26" s="65" t="s">
        <v>18</v>
      </c>
      <c r="C26" s="66"/>
      <c r="D26" s="7" t="s">
        <v>17</v>
      </c>
      <c r="E26" s="67" t="s">
        <v>11</v>
      </c>
      <c r="F26" s="68"/>
      <c r="G26" s="13">
        <f>COUNTIF(E25:AH25,"H")</f>
        <v>21</v>
      </c>
      <c r="H26" s="67" t="s">
        <v>12</v>
      </c>
      <c r="I26" s="68"/>
      <c r="J26" s="13">
        <f>COUNTIF(E25:AH25,"T")</f>
        <v>5</v>
      </c>
      <c r="K26" s="67" t="s">
        <v>13</v>
      </c>
      <c r="L26" s="68"/>
      <c r="M26" s="13">
        <f>COUNTIF(E25:AH25,"A") + COUNTIF(E25:AH25,"I")</f>
        <v>4</v>
      </c>
      <c r="N26" s="67" t="s">
        <v>14</v>
      </c>
      <c r="O26" s="68"/>
      <c r="P26" s="13">
        <f>IF((G26+J26+M26)=0,0,(G26+J26)/(G26+J26+M26)*100)</f>
        <v>86.666666666666671</v>
      </c>
      <c r="Q26" s="67"/>
      <c r="R26" s="68"/>
      <c r="S26" s="13"/>
      <c r="T26" s="67"/>
      <c r="U26" s="68"/>
      <c r="V26" s="14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6"/>
    </row>
    <row r="27" spans="1:35" ht="22" customHeight="1" x14ac:dyDescent="0.35">
      <c r="A27" s="2"/>
      <c r="B27" s="72" t="s">
        <v>33</v>
      </c>
      <c r="C27" s="72"/>
      <c r="D27" s="72"/>
      <c r="E27" s="16" t="s">
        <v>8</v>
      </c>
      <c r="F27" s="16" t="s">
        <v>0</v>
      </c>
      <c r="G27" s="17" t="s">
        <v>8</v>
      </c>
      <c r="H27" s="17" t="s">
        <v>8</v>
      </c>
      <c r="I27" s="17" t="s">
        <v>8</v>
      </c>
      <c r="J27" s="17" t="s">
        <v>8</v>
      </c>
      <c r="K27" s="17" t="s">
        <v>8</v>
      </c>
      <c r="L27" s="19" t="s">
        <v>8</v>
      </c>
      <c r="M27" s="19" t="s">
        <v>9</v>
      </c>
      <c r="N27" s="18" t="s">
        <v>9</v>
      </c>
      <c r="O27" s="18" t="s">
        <v>8</v>
      </c>
      <c r="P27" s="18" t="s">
        <v>9</v>
      </c>
      <c r="Q27" s="18" t="s">
        <v>8</v>
      </c>
      <c r="R27" s="18" t="s">
        <v>8</v>
      </c>
      <c r="S27" s="18" t="s">
        <v>8</v>
      </c>
      <c r="T27" s="18" t="s">
        <v>8</v>
      </c>
      <c r="U27" s="18" t="s">
        <v>9</v>
      </c>
      <c r="V27" s="18" t="s">
        <v>8</v>
      </c>
      <c r="W27" s="18" t="s">
        <v>8</v>
      </c>
      <c r="X27" s="18" t="s">
        <v>8</v>
      </c>
      <c r="Y27" s="18" t="s">
        <v>9</v>
      </c>
      <c r="Z27" s="18" t="s">
        <v>0</v>
      </c>
      <c r="AA27" s="18" t="s">
        <v>0</v>
      </c>
      <c r="AB27" s="18" t="s">
        <v>8</v>
      </c>
      <c r="AC27" s="18" t="s">
        <v>8</v>
      </c>
      <c r="AD27" s="18" t="s">
        <v>8</v>
      </c>
      <c r="AE27" s="18" t="s">
        <v>8</v>
      </c>
      <c r="AF27" s="18" t="s">
        <v>8</v>
      </c>
      <c r="AG27" s="18" t="s">
        <v>8</v>
      </c>
      <c r="AH27" s="18" t="s">
        <v>0</v>
      </c>
      <c r="AI27" s="2"/>
    </row>
    <row r="28" spans="1:35" s="8" customFormat="1" ht="22" customHeight="1" thickBot="1" x14ac:dyDescent="0.3">
      <c r="A28" s="6"/>
      <c r="B28" s="65" t="s">
        <v>18</v>
      </c>
      <c r="C28" s="66"/>
      <c r="D28" s="7" t="s">
        <v>17</v>
      </c>
      <c r="E28" s="67" t="s">
        <v>11</v>
      </c>
      <c r="F28" s="68"/>
      <c r="G28" s="13">
        <f>COUNTIF(E27:AH27,"H")</f>
        <v>21</v>
      </c>
      <c r="H28" s="67" t="s">
        <v>12</v>
      </c>
      <c r="I28" s="68"/>
      <c r="J28" s="13">
        <f>COUNTIF(E27:AH27,"T")</f>
        <v>5</v>
      </c>
      <c r="K28" s="67" t="s">
        <v>13</v>
      </c>
      <c r="L28" s="68"/>
      <c r="M28" s="13">
        <f>COUNTIF(E27:AH27,"A") + COUNTIF(E27:AH27,"I")</f>
        <v>4</v>
      </c>
      <c r="N28" s="67" t="s">
        <v>14</v>
      </c>
      <c r="O28" s="68"/>
      <c r="P28" s="13">
        <f>IF((G28+J28+M28)=0,0,(G28+J28)/(G28+J28+M28)*100)</f>
        <v>86.666666666666671</v>
      </c>
      <c r="Q28" s="67"/>
      <c r="R28" s="68"/>
      <c r="S28" s="13"/>
      <c r="T28" s="67"/>
      <c r="U28" s="68"/>
      <c r="V28" s="14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6"/>
    </row>
    <row r="29" spans="1:35" s="10" customFormat="1" ht="22" customHeight="1" x14ac:dyDescent="0.25">
      <c r="A29" s="9"/>
      <c r="B29" s="72" t="s">
        <v>34</v>
      </c>
      <c r="C29" s="72"/>
      <c r="D29" s="72"/>
      <c r="E29" s="16" t="s">
        <v>8</v>
      </c>
      <c r="F29" s="16" t="s">
        <v>0</v>
      </c>
      <c r="G29" s="17" t="s">
        <v>8</v>
      </c>
      <c r="H29" s="17" t="s">
        <v>8</v>
      </c>
      <c r="I29" s="17" t="s">
        <v>8</v>
      </c>
      <c r="J29" s="17" t="s">
        <v>8</v>
      </c>
      <c r="K29" s="17" t="s">
        <v>8</v>
      </c>
      <c r="L29" s="19" t="s">
        <v>8</v>
      </c>
      <c r="M29" s="19" t="s">
        <v>9</v>
      </c>
      <c r="N29" s="18" t="s">
        <v>9</v>
      </c>
      <c r="O29" s="18" t="s">
        <v>8</v>
      </c>
      <c r="P29" s="18" t="s">
        <v>9</v>
      </c>
      <c r="Q29" s="18" t="s">
        <v>8</v>
      </c>
      <c r="R29" s="18" t="s">
        <v>8</v>
      </c>
      <c r="S29" s="18" t="s">
        <v>8</v>
      </c>
      <c r="T29" s="18" t="s">
        <v>8</v>
      </c>
      <c r="U29" s="18" t="s">
        <v>9</v>
      </c>
      <c r="V29" s="18" t="s">
        <v>8</v>
      </c>
      <c r="W29" s="18" t="s">
        <v>8</v>
      </c>
      <c r="X29" s="18" t="s">
        <v>8</v>
      </c>
      <c r="Y29" s="18" t="s">
        <v>9</v>
      </c>
      <c r="Z29" s="18" t="s">
        <v>0</v>
      </c>
      <c r="AA29" s="18" t="s">
        <v>0</v>
      </c>
      <c r="AB29" s="18" t="s">
        <v>8</v>
      </c>
      <c r="AC29" s="18" t="s">
        <v>8</v>
      </c>
      <c r="AD29" s="18" t="s">
        <v>8</v>
      </c>
      <c r="AE29" s="18" t="s">
        <v>8</v>
      </c>
      <c r="AF29" s="18" t="s">
        <v>8</v>
      </c>
      <c r="AG29" s="18" t="s">
        <v>8</v>
      </c>
      <c r="AH29" s="18" t="s">
        <v>0</v>
      </c>
      <c r="AI29" s="9"/>
    </row>
    <row r="30" spans="1:35" s="8" customFormat="1" ht="22" customHeight="1" thickBot="1" x14ac:dyDescent="0.3">
      <c r="A30" s="6"/>
      <c r="B30" s="65" t="s">
        <v>18</v>
      </c>
      <c r="C30" s="66"/>
      <c r="D30" s="7" t="s">
        <v>17</v>
      </c>
      <c r="E30" s="67" t="s">
        <v>11</v>
      </c>
      <c r="F30" s="68"/>
      <c r="G30" s="13">
        <f>COUNTIF(E29:AH29,"H")</f>
        <v>21</v>
      </c>
      <c r="H30" s="67" t="s">
        <v>12</v>
      </c>
      <c r="I30" s="68"/>
      <c r="J30" s="13">
        <f>COUNTIF(E29:AH29,"T")</f>
        <v>5</v>
      </c>
      <c r="K30" s="67" t="s">
        <v>13</v>
      </c>
      <c r="L30" s="68"/>
      <c r="M30" s="13">
        <f>COUNTIF(E29:AH29,"A") + COUNTIF(E29:AH29,"I")</f>
        <v>4</v>
      </c>
      <c r="N30" s="67" t="s">
        <v>14</v>
      </c>
      <c r="O30" s="68"/>
      <c r="P30" s="13">
        <f>IF((G30+J30+M30)=0,0,(G30+J30)/(G30+J30+M30)*100)</f>
        <v>86.666666666666671</v>
      </c>
      <c r="Q30" s="67"/>
      <c r="R30" s="68"/>
      <c r="S30" s="13"/>
      <c r="T30" s="67"/>
      <c r="U30" s="68"/>
      <c r="V30" s="14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6"/>
    </row>
    <row r="31" spans="1:35" ht="22" customHeight="1" x14ac:dyDescent="0.35">
      <c r="A31" s="2"/>
      <c r="B31" s="72" t="s">
        <v>35</v>
      </c>
      <c r="C31" s="72"/>
      <c r="D31" s="72"/>
      <c r="E31" s="16" t="s">
        <v>8</v>
      </c>
      <c r="F31" s="16" t="s">
        <v>0</v>
      </c>
      <c r="G31" s="17" t="s">
        <v>8</v>
      </c>
      <c r="H31" s="17" t="s">
        <v>8</v>
      </c>
      <c r="I31" s="17" t="s">
        <v>8</v>
      </c>
      <c r="J31" s="17" t="s">
        <v>8</v>
      </c>
      <c r="K31" s="17" t="s">
        <v>8</v>
      </c>
      <c r="L31" s="19" t="s">
        <v>8</v>
      </c>
      <c r="M31" s="19" t="s">
        <v>9</v>
      </c>
      <c r="N31" s="18" t="s">
        <v>9</v>
      </c>
      <c r="O31" s="18" t="s">
        <v>8</v>
      </c>
      <c r="P31" s="18" t="s">
        <v>9</v>
      </c>
      <c r="Q31" s="18" t="s">
        <v>8</v>
      </c>
      <c r="R31" s="18" t="s">
        <v>8</v>
      </c>
      <c r="S31" s="18" t="s">
        <v>8</v>
      </c>
      <c r="T31" s="18" t="s">
        <v>8</v>
      </c>
      <c r="U31" s="18" t="s">
        <v>9</v>
      </c>
      <c r="V31" s="18" t="s">
        <v>8</v>
      </c>
      <c r="W31" s="18" t="s">
        <v>8</v>
      </c>
      <c r="X31" s="18" t="s">
        <v>8</v>
      </c>
      <c r="Y31" s="18" t="s">
        <v>9</v>
      </c>
      <c r="Z31" s="18" t="s">
        <v>0</v>
      </c>
      <c r="AA31" s="18" t="s">
        <v>0</v>
      </c>
      <c r="AB31" s="18" t="s">
        <v>8</v>
      </c>
      <c r="AC31" s="18" t="s">
        <v>8</v>
      </c>
      <c r="AD31" s="18" t="s">
        <v>8</v>
      </c>
      <c r="AE31" s="18" t="s">
        <v>8</v>
      </c>
      <c r="AF31" s="18" t="s">
        <v>8</v>
      </c>
      <c r="AG31" s="18" t="s">
        <v>8</v>
      </c>
      <c r="AH31" s="18" t="s">
        <v>0</v>
      </c>
      <c r="AI31" s="2"/>
    </row>
    <row r="32" spans="1:35" s="8" customFormat="1" ht="22" customHeight="1" thickBot="1" x14ac:dyDescent="0.3">
      <c r="A32" s="6"/>
      <c r="B32" s="65" t="s">
        <v>18</v>
      </c>
      <c r="C32" s="66"/>
      <c r="D32" s="7" t="s">
        <v>17</v>
      </c>
      <c r="E32" s="67" t="s">
        <v>11</v>
      </c>
      <c r="F32" s="68"/>
      <c r="G32" s="13">
        <f>COUNTIF(E31:AH31,"H")</f>
        <v>21</v>
      </c>
      <c r="H32" s="67" t="s">
        <v>12</v>
      </c>
      <c r="I32" s="68"/>
      <c r="J32" s="13">
        <f>COUNTIF(E31:AH31,"T")</f>
        <v>5</v>
      </c>
      <c r="K32" s="67" t="s">
        <v>13</v>
      </c>
      <c r="L32" s="68"/>
      <c r="M32" s="13">
        <f>COUNTIF(E31:AH31,"A") + COUNTIF(E31:AH31,"I")</f>
        <v>4</v>
      </c>
      <c r="N32" s="67" t="s">
        <v>14</v>
      </c>
      <c r="O32" s="68"/>
      <c r="P32" s="13">
        <f>IF((G32+J32+M32)=0,0,(G32+J32)/(G32+J32+M32)*100)</f>
        <v>86.666666666666671</v>
      </c>
      <c r="Q32" s="67"/>
      <c r="R32" s="68"/>
      <c r="S32" s="13"/>
      <c r="T32" s="67"/>
      <c r="U32" s="68"/>
      <c r="V32" s="14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6"/>
    </row>
    <row r="33" spans="1:36" ht="22" customHeight="1" x14ac:dyDescent="0.35">
      <c r="A33" s="2"/>
      <c r="B33" s="72" t="s">
        <v>36</v>
      </c>
      <c r="C33" s="72"/>
      <c r="D33" s="72"/>
      <c r="E33" s="16" t="s">
        <v>8</v>
      </c>
      <c r="F33" s="16" t="s">
        <v>0</v>
      </c>
      <c r="G33" s="17" t="s">
        <v>8</v>
      </c>
      <c r="H33" s="17" t="s">
        <v>8</v>
      </c>
      <c r="I33" s="17" t="s">
        <v>8</v>
      </c>
      <c r="J33" s="17" t="s">
        <v>8</v>
      </c>
      <c r="K33" s="17" t="s">
        <v>8</v>
      </c>
      <c r="L33" s="19" t="s">
        <v>8</v>
      </c>
      <c r="M33" s="19" t="s">
        <v>9</v>
      </c>
      <c r="N33" s="18" t="s">
        <v>9</v>
      </c>
      <c r="O33" s="18" t="s">
        <v>8</v>
      </c>
      <c r="P33" s="18" t="s">
        <v>9</v>
      </c>
      <c r="Q33" s="18" t="s">
        <v>8</v>
      </c>
      <c r="R33" s="18" t="s">
        <v>8</v>
      </c>
      <c r="S33" s="18" t="s">
        <v>8</v>
      </c>
      <c r="T33" s="18" t="s">
        <v>8</v>
      </c>
      <c r="U33" s="18" t="s">
        <v>9</v>
      </c>
      <c r="V33" s="18" t="s">
        <v>8</v>
      </c>
      <c r="W33" s="18" t="s">
        <v>8</v>
      </c>
      <c r="X33" s="18" t="s">
        <v>8</v>
      </c>
      <c r="Y33" s="18" t="s">
        <v>9</v>
      </c>
      <c r="Z33" s="18" t="s">
        <v>0</v>
      </c>
      <c r="AA33" s="18" t="s">
        <v>0</v>
      </c>
      <c r="AB33" s="18" t="s">
        <v>8</v>
      </c>
      <c r="AC33" s="18" t="s">
        <v>8</v>
      </c>
      <c r="AD33" s="18" t="s">
        <v>8</v>
      </c>
      <c r="AE33" s="18" t="s">
        <v>8</v>
      </c>
      <c r="AF33" s="18" t="s">
        <v>8</v>
      </c>
      <c r="AG33" s="18" t="s">
        <v>8</v>
      </c>
      <c r="AH33" s="18" t="s">
        <v>0</v>
      </c>
      <c r="AI33" s="2"/>
    </row>
    <row r="34" spans="1:36" s="8" customFormat="1" ht="22" customHeight="1" thickBot="1" x14ac:dyDescent="0.3">
      <c r="A34" s="6"/>
      <c r="B34" s="65" t="s">
        <v>18</v>
      </c>
      <c r="C34" s="66"/>
      <c r="D34" s="7" t="s">
        <v>17</v>
      </c>
      <c r="E34" s="67" t="s">
        <v>11</v>
      </c>
      <c r="F34" s="68"/>
      <c r="G34" s="13">
        <f>COUNTIF(E33:AH33,"H")</f>
        <v>21</v>
      </c>
      <c r="H34" s="67" t="s">
        <v>12</v>
      </c>
      <c r="I34" s="68"/>
      <c r="J34" s="13">
        <f>COUNTIF(E33:AH33,"T")</f>
        <v>5</v>
      </c>
      <c r="K34" s="67" t="s">
        <v>13</v>
      </c>
      <c r="L34" s="68"/>
      <c r="M34" s="13">
        <f>COUNTIF(E33:AH33,"A") + COUNTIF(E33:AH33,"I")</f>
        <v>4</v>
      </c>
      <c r="N34" s="67" t="s">
        <v>14</v>
      </c>
      <c r="O34" s="68"/>
      <c r="P34" s="13">
        <f>IF((G34+J34+M34)=0,0,(G34+J34)/(G34+J34+M34)*100)</f>
        <v>86.666666666666671</v>
      </c>
      <c r="Q34" s="67"/>
      <c r="R34" s="68"/>
      <c r="S34" s="13"/>
      <c r="T34" s="67"/>
      <c r="U34" s="68"/>
      <c r="V34" s="14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6"/>
    </row>
    <row r="35" spans="1:36" s="10" customFormat="1" ht="22" customHeight="1" x14ac:dyDescent="0.25">
      <c r="A35" s="9"/>
      <c r="B35" s="69" t="s">
        <v>37</v>
      </c>
      <c r="C35" s="70"/>
      <c r="D35" s="71"/>
      <c r="E35" s="16" t="s">
        <v>8</v>
      </c>
      <c r="F35" s="16" t="s">
        <v>0</v>
      </c>
      <c r="G35" s="17" t="s">
        <v>8</v>
      </c>
      <c r="H35" s="17" t="s">
        <v>8</v>
      </c>
      <c r="I35" s="17" t="s">
        <v>8</v>
      </c>
      <c r="J35" s="17" t="s">
        <v>8</v>
      </c>
      <c r="K35" s="17" t="s">
        <v>8</v>
      </c>
      <c r="L35" s="19" t="s">
        <v>8</v>
      </c>
      <c r="M35" s="19" t="s">
        <v>9</v>
      </c>
      <c r="N35" s="18" t="s">
        <v>9</v>
      </c>
      <c r="O35" s="18" t="s">
        <v>8</v>
      </c>
      <c r="P35" s="18" t="s">
        <v>9</v>
      </c>
      <c r="Q35" s="18" t="s">
        <v>8</v>
      </c>
      <c r="R35" s="18" t="s">
        <v>8</v>
      </c>
      <c r="S35" s="18" t="s">
        <v>8</v>
      </c>
      <c r="T35" s="18" t="s">
        <v>8</v>
      </c>
      <c r="U35" s="18" t="s">
        <v>9</v>
      </c>
      <c r="V35" s="18" t="s">
        <v>8</v>
      </c>
      <c r="W35" s="18" t="s">
        <v>8</v>
      </c>
      <c r="X35" s="18" t="s">
        <v>8</v>
      </c>
      <c r="Y35" s="18" t="s">
        <v>9</v>
      </c>
      <c r="Z35" s="18" t="s">
        <v>0</v>
      </c>
      <c r="AA35" s="18" t="s">
        <v>0</v>
      </c>
      <c r="AB35" s="18" t="s">
        <v>8</v>
      </c>
      <c r="AC35" s="18" t="s">
        <v>8</v>
      </c>
      <c r="AD35" s="18" t="s">
        <v>8</v>
      </c>
      <c r="AE35" s="18" t="s">
        <v>8</v>
      </c>
      <c r="AF35" s="18" t="s">
        <v>8</v>
      </c>
      <c r="AG35" s="18" t="s">
        <v>8</v>
      </c>
      <c r="AH35" s="18" t="s">
        <v>0</v>
      </c>
      <c r="AI35" s="9"/>
    </row>
    <row r="36" spans="1:36" s="8" customFormat="1" ht="22" customHeight="1" thickBot="1" x14ac:dyDescent="0.3">
      <c r="A36" s="6"/>
      <c r="B36" s="65" t="s">
        <v>18</v>
      </c>
      <c r="C36" s="66"/>
      <c r="D36" s="7" t="s">
        <v>17</v>
      </c>
      <c r="E36" s="67" t="s">
        <v>11</v>
      </c>
      <c r="F36" s="68"/>
      <c r="G36" s="13">
        <f>COUNTIF(E35:AH35,"H")</f>
        <v>21</v>
      </c>
      <c r="H36" s="67" t="s">
        <v>12</v>
      </c>
      <c r="I36" s="68"/>
      <c r="J36" s="13">
        <f>COUNTIF(E35:AH35,"T")</f>
        <v>5</v>
      </c>
      <c r="K36" s="67" t="s">
        <v>13</v>
      </c>
      <c r="L36" s="68"/>
      <c r="M36" s="13">
        <f>COUNTIF(E35:AH35,"A") + COUNTIF(E35:AH35,"I")</f>
        <v>4</v>
      </c>
      <c r="N36" s="67" t="s">
        <v>14</v>
      </c>
      <c r="O36" s="68"/>
      <c r="P36" s="13">
        <f>IF((G36+J36+M36)=0,0,(G36+J36)/(G36+J36+M36)*100)</f>
        <v>86.666666666666671</v>
      </c>
      <c r="Q36" s="67"/>
      <c r="R36" s="68"/>
      <c r="S36" s="13"/>
      <c r="T36" s="67"/>
      <c r="U36" s="68"/>
      <c r="V36" s="14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6"/>
    </row>
    <row r="37" spans="1:36" s="10" customFormat="1" ht="22" customHeight="1" x14ac:dyDescent="0.25">
      <c r="A37" s="9"/>
      <c r="B37" s="69" t="s">
        <v>38</v>
      </c>
      <c r="C37" s="70"/>
      <c r="D37" s="71"/>
      <c r="E37" s="16" t="s">
        <v>8</v>
      </c>
      <c r="F37" s="16" t="s">
        <v>0</v>
      </c>
      <c r="G37" s="17" t="s">
        <v>8</v>
      </c>
      <c r="H37" s="17" t="s">
        <v>8</v>
      </c>
      <c r="I37" s="17" t="s">
        <v>8</v>
      </c>
      <c r="J37" s="17" t="s">
        <v>8</v>
      </c>
      <c r="K37" s="17" t="s">
        <v>8</v>
      </c>
      <c r="L37" s="19" t="s">
        <v>8</v>
      </c>
      <c r="M37" s="19" t="s">
        <v>9</v>
      </c>
      <c r="N37" s="18" t="s">
        <v>9</v>
      </c>
      <c r="O37" s="18" t="s">
        <v>8</v>
      </c>
      <c r="P37" s="18" t="s">
        <v>9</v>
      </c>
      <c r="Q37" s="18" t="s">
        <v>8</v>
      </c>
      <c r="R37" s="18" t="s">
        <v>8</v>
      </c>
      <c r="S37" s="18" t="s">
        <v>8</v>
      </c>
      <c r="T37" s="18" t="s">
        <v>8</v>
      </c>
      <c r="U37" s="18" t="s">
        <v>9</v>
      </c>
      <c r="V37" s="18" t="s">
        <v>8</v>
      </c>
      <c r="W37" s="18" t="s">
        <v>8</v>
      </c>
      <c r="X37" s="18" t="s">
        <v>8</v>
      </c>
      <c r="Y37" s="18" t="s">
        <v>9</v>
      </c>
      <c r="Z37" s="18" t="s">
        <v>0</v>
      </c>
      <c r="AA37" s="18" t="s">
        <v>0</v>
      </c>
      <c r="AB37" s="18" t="s">
        <v>8</v>
      </c>
      <c r="AC37" s="18" t="s">
        <v>8</v>
      </c>
      <c r="AD37" s="18" t="s">
        <v>8</v>
      </c>
      <c r="AE37" s="18" t="s">
        <v>8</v>
      </c>
      <c r="AF37" s="18" t="s">
        <v>8</v>
      </c>
      <c r="AG37" s="18" t="s">
        <v>8</v>
      </c>
      <c r="AH37" s="18" t="s">
        <v>0</v>
      </c>
      <c r="AI37" s="9"/>
    </row>
    <row r="38" spans="1:36" s="8" customFormat="1" ht="22" customHeight="1" thickBot="1" x14ac:dyDescent="0.3">
      <c r="A38" s="6"/>
      <c r="B38" s="65" t="s">
        <v>18</v>
      </c>
      <c r="C38" s="66"/>
      <c r="D38" s="7" t="s">
        <v>17</v>
      </c>
      <c r="E38" s="67" t="s">
        <v>11</v>
      </c>
      <c r="F38" s="68"/>
      <c r="G38" s="13">
        <f>COUNTIF(E37:AH37,"H")</f>
        <v>21</v>
      </c>
      <c r="H38" s="67" t="s">
        <v>12</v>
      </c>
      <c r="I38" s="68"/>
      <c r="J38" s="13">
        <f>COUNTIF(E37:AH37,"T")</f>
        <v>5</v>
      </c>
      <c r="K38" s="67" t="s">
        <v>13</v>
      </c>
      <c r="L38" s="68"/>
      <c r="M38" s="13">
        <f>COUNTIF(E37:AH37,"A") + COUNTIF(E37:AH37,"I")</f>
        <v>4</v>
      </c>
      <c r="N38" s="67" t="s">
        <v>14</v>
      </c>
      <c r="O38" s="68"/>
      <c r="P38" s="13">
        <f>IF((G38+J38+M38)=0,0,(G38+J38)/(G38+J38+M38)*100)</f>
        <v>86.666666666666671</v>
      </c>
      <c r="Q38" s="67"/>
      <c r="R38" s="68"/>
      <c r="S38" s="13"/>
      <c r="T38" s="67"/>
      <c r="U38" s="68"/>
      <c r="V38" s="14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6"/>
    </row>
    <row r="39" spans="1:36" s="10" customFormat="1" ht="22" customHeight="1" x14ac:dyDescent="0.25">
      <c r="A39" s="9"/>
      <c r="B39" s="69" t="s">
        <v>39</v>
      </c>
      <c r="C39" s="70"/>
      <c r="D39" s="71"/>
      <c r="E39" s="16" t="s">
        <v>8</v>
      </c>
      <c r="F39" s="16" t="s">
        <v>0</v>
      </c>
      <c r="G39" s="17" t="s">
        <v>8</v>
      </c>
      <c r="H39" s="17" t="s">
        <v>8</v>
      </c>
      <c r="I39" s="17" t="s">
        <v>8</v>
      </c>
      <c r="J39" s="17" t="s">
        <v>8</v>
      </c>
      <c r="K39" s="17" t="s">
        <v>8</v>
      </c>
      <c r="L39" s="19" t="s">
        <v>8</v>
      </c>
      <c r="M39" s="19" t="s">
        <v>9</v>
      </c>
      <c r="N39" s="18" t="s">
        <v>9</v>
      </c>
      <c r="O39" s="18" t="s">
        <v>8</v>
      </c>
      <c r="P39" s="18" t="s">
        <v>9</v>
      </c>
      <c r="Q39" s="18" t="s">
        <v>8</v>
      </c>
      <c r="R39" s="18" t="s">
        <v>8</v>
      </c>
      <c r="S39" s="18" t="s">
        <v>8</v>
      </c>
      <c r="T39" s="18" t="s">
        <v>8</v>
      </c>
      <c r="U39" s="18" t="s">
        <v>9</v>
      </c>
      <c r="V39" s="18" t="s">
        <v>8</v>
      </c>
      <c r="W39" s="18" t="s">
        <v>8</v>
      </c>
      <c r="X39" s="18" t="s">
        <v>8</v>
      </c>
      <c r="Y39" s="18" t="s">
        <v>9</v>
      </c>
      <c r="Z39" s="18" t="s">
        <v>0</v>
      </c>
      <c r="AA39" s="18" t="s">
        <v>0</v>
      </c>
      <c r="AB39" s="18" t="s">
        <v>8</v>
      </c>
      <c r="AC39" s="18" t="s">
        <v>8</v>
      </c>
      <c r="AD39" s="18" t="s">
        <v>8</v>
      </c>
      <c r="AE39" s="18" t="s">
        <v>8</v>
      </c>
      <c r="AF39" s="18" t="s">
        <v>8</v>
      </c>
      <c r="AG39" s="18" t="s">
        <v>8</v>
      </c>
      <c r="AH39" s="18" t="s">
        <v>0</v>
      </c>
      <c r="AI39" s="9"/>
    </row>
    <row r="40" spans="1:36" s="8" customFormat="1" ht="22" customHeight="1" thickBot="1" x14ac:dyDescent="0.3">
      <c r="A40" s="6"/>
      <c r="B40" s="65" t="s">
        <v>18</v>
      </c>
      <c r="C40" s="66"/>
      <c r="D40" s="7" t="s">
        <v>17</v>
      </c>
      <c r="E40" s="67" t="s">
        <v>11</v>
      </c>
      <c r="F40" s="68"/>
      <c r="G40" s="13">
        <f>COUNTIF(E39:AH39,"H")</f>
        <v>21</v>
      </c>
      <c r="H40" s="67" t="s">
        <v>12</v>
      </c>
      <c r="I40" s="68"/>
      <c r="J40" s="13">
        <f>COUNTIF(E39:AH39,"T")</f>
        <v>5</v>
      </c>
      <c r="K40" s="67" t="s">
        <v>13</v>
      </c>
      <c r="L40" s="68"/>
      <c r="M40" s="13">
        <f>COUNTIF(E39:AH39,"A") + COUNTIF(E39:AH39,"I")</f>
        <v>4</v>
      </c>
      <c r="N40" s="67" t="s">
        <v>14</v>
      </c>
      <c r="O40" s="68"/>
      <c r="P40" s="13">
        <f>IF((G40+J40+M40)=0,0,(G40+J40)/(G40+J40+M40)*100)</f>
        <v>86.666666666666671</v>
      </c>
      <c r="Q40" s="67"/>
      <c r="R40" s="68"/>
      <c r="S40" s="13"/>
      <c r="T40" s="67"/>
      <c r="U40" s="68"/>
      <c r="V40" s="14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6"/>
    </row>
    <row r="41" spans="1:36" s="10" customFormat="1" ht="22" customHeight="1" x14ac:dyDescent="0.25">
      <c r="A41" s="9"/>
      <c r="B41" s="69" t="s">
        <v>40</v>
      </c>
      <c r="C41" s="70"/>
      <c r="D41" s="71"/>
      <c r="E41" s="16" t="s">
        <v>8</v>
      </c>
      <c r="F41" s="16" t="s">
        <v>0</v>
      </c>
      <c r="G41" s="17" t="s">
        <v>8</v>
      </c>
      <c r="H41" s="17" t="s">
        <v>8</v>
      </c>
      <c r="I41" s="17" t="s">
        <v>8</v>
      </c>
      <c r="J41" s="17" t="s">
        <v>8</v>
      </c>
      <c r="K41" s="17" t="s">
        <v>8</v>
      </c>
      <c r="L41" s="19" t="s">
        <v>8</v>
      </c>
      <c r="M41" s="19" t="s">
        <v>9</v>
      </c>
      <c r="N41" s="18" t="s">
        <v>9</v>
      </c>
      <c r="O41" s="18" t="s">
        <v>8</v>
      </c>
      <c r="P41" s="18" t="s">
        <v>9</v>
      </c>
      <c r="Q41" s="18" t="s">
        <v>8</v>
      </c>
      <c r="R41" s="18" t="s">
        <v>8</v>
      </c>
      <c r="S41" s="18" t="s">
        <v>8</v>
      </c>
      <c r="T41" s="18" t="s">
        <v>8</v>
      </c>
      <c r="U41" s="18" t="s">
        <v>9</v>
      </c>
      <c r="V41" s="18" t="s">
        <v>8</v>
      </c>
      <c r="W41" s="18" t="s">
        <v>8</v>
      </c>
      <c r="X41" s="18" t="s">
        <v>8</v>
      </c>
      <c r="Y41" s="18" t="s">
        <v>9</v>
      </c>
      <c r="Z41" s="18" t="s">
        <v>0</v>
      </c>
      <c r="AA41" s="18" t="s">
        <v>0</v>
      </c>
      <c r="AB41" s="18" t="s">
        <v>8</v>
      </c>
      <c r="AC41" s="18" t="s">
        <v>8</v>
      </c>
      <c r="AD41" s="18" t="s">
        <v>8</v>
      </c>
      <c r="AE41" s="18" t="s">
        <v>8</v>
      </c>
      <c r="AF41" s="18" t="s">
        <v>8</v>
      </c>
      <c r="AG41" s="18" t="s">
        <v>8</v>
      </c>
      <c r="AH41" s="18" t="s">
        <v>0</v>
      </c>
      <c r="AI41" s="9"/>
    </row>
    <row r="42" spans="1:36" s="8" customFormat="1" ht="22" customHeight="1" thickBot="1" x14ac:dyDescent="0.3">
      <c r="A42" s="6"/>
      <c r="B42" s="65" t="s">
        <v>18</v>
      </c>
      <c r="C42" s="66"/>
      <c r="D42" s="7" t="s">
        <v>17</v>
      </c>
      <c r="E42" s="67" t="s">
        <v>11</v>
      </c>
      <c r="F42" s="68"/>
      <c r="G42" s="13">
        <f>COUNTIF(E41:AH41,"H")</f>
        <v>21</v>
      </c>
      <c r="H42" s="67" t="s">
        <v>12</v>
      </c>
      <c r="I42" s="68"/>
      <c r="J42" s="13">
        <f>COUNTIF(E41:AH41,"T")</f>
        <v>5</v>
      </c>
      <c r="K42" s="67" t="s">
        <v>13</v>
      </c>
      <c r="L42" s="68"/>
      <c r="M42" s="13">
        <f>COUNTIF(E41:AH41,"A") + COUNTIF(E41:AH41,"I")</f>
        <v>4</v>
      </c>
      <c r="N42" s="67" t="s">
        <v>14</v>
      </c>
      <c r="O42" s="68"/>
      <c r="P42" s="13">
        <f>IF((G42+J42+M42)=0,0,(G42+J42)/(G42+J42+M42)*100)</f>
        <v>86.666666666666671</v>
      </c>
      <c r="Q42" s="67"/>
      <c r="R42" s="68"/>
      <c r="S42" s="13"/>
      <c r="T42" s="67"/>
      <c r="U42" s="68"/>
      <c r="V42" s="14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6"/>
    </row>
    <row r="43" spans="1:36" s="10" customFormat="1" ht="22" customHeight="1" x14ac:dyDescent="0.25">
      <c r="A43" s="9"/>
      <c r="B43" s="62" t="s">
        <v>41</v>
      </c>
      <c r="C43" s="63"/>
      <c r="D43" s="64"/>
      <c r="E43" s="16" t="s">
        <v>8</v>
      </c>
      <c r="F43" s="16" t="s">
        <v>0</v>
      </c>
      <c r="G43" s="17" t="s">
        <v>8</v>
      </c>
      <c r="H43" s="17" t="s">
        <v>8</v>
      </c>
      <c r="I43" s="17" t="s">
        <v>8</v>
      </c>
      <c r="J43" s="17" t="s">
        <v>8</v>
      </c>
      <c r="K43" s="17" t="s">
        <v>8</v>
      </c>
      <c r="L43" s="19" t="s">
        <v>8</v>
      </c>
      <c r="M43" s="19" t="s">
        <v>9</v>
      </c>
      <c r="N43" s="18" t="s">
        <v>9</v>
      </c>
      <c r="O43" s="18" t="s">
        <v>8</v>
      </c>
      <c r="P43" s="18" t="s">
        <v>9</v>
      </c>
      <c r="Q43" s="18" t="s">
        <v>8</v>
      </c>
      <c r="R43" s="18" t="s">
        <v>8</v>
      </c>
      <c r="S43" s="18" t="s">
        <v>8</v>
      </c>
      <c r="T43" s="18" t="s">
        <v>8</v>
      </c>
      <c r="U43" s="18" t="s">
        <v>9</v>
      </c>
      <c r="V43" s="18" t="s">
        <v>8</v>
      </c>
      <c r="W43" s="18" t="s">
        <v>8</v>
      </c>
      <c r="X43" s="18" t="s">
        <v>8</v>
      </c>
      <c r="Y43" s="18" t="s">
        <v>9</v>
      </c>
      <c r="Z43" s="18" t="s">
        <v>0</v>
      </c>
      <c r="AA43" s="18" t="s">
        <v>0</v>
      </c>
      <c r="AB43" s="18" t="s">
        <v>8</v>
      </c>
      <c r="AC43" s="18" t="s">
        <v>8</v>
      </c>
      <c r="AD43" s="18" t="s">
        <v>8</v>
      </c>
      <c r="AE43" s="18" t="s">
        <v>8</v>
      </c>
      <c r="AF43" s="18" t="s">
        <v>8</v>
      </c>
      <c r="AG43" s="18" t="s">
        <v>8</v>
      </c>
      <c r="AH43" s="18" t="s">
        <v>0</v>
      </c>
      <c r="AI43" s="9"/>
    </row>
    <row r="44" spans="1:36" s="8" customFormat="1" ht="22" customHeight="1" thickBot="1" x14ac:dyDescent="0.3">
      <c r="A44" s="6"/>
      <c r="B44" s="65" t="s">
        <v>18</v>
      </c>
      <c r="C44" s="66"/>
      <c r="D44" s="7" t="s">
        <v>17</v>
      </c>
      <c r="E44" s="67" t="s">
        <v>11</v>
      </c>
      <c r="F44" s="68"/>
      <c r="G44" s="13">
        <f>COUNTIF(E43:AH43,"H")</f>
        <v>21</v>
      </c>
      <c r="H44" s="67" t="s">
        <v>12</v>
      </c>
      <c r="I44" s="68"/>
      <c r="J44" s="13">
        <f>COUNTIF(E43:AH43,"T")</f>
        <v>5</v>
      </c>
      <c r="K44" s="67" t="s">
        <v>13</v>
      </c>
      <c r="L44" s="68"/>
      <c r="M44" s="13">
        <f>COUNTIF(E43:AH43,"A") + COUNTIF(E43:AH43,"I")</f>
        <v>4</v>
      </c>
      <c r="N44" s="67" t="s">
        <v>14</v>
      </c>
      <c r="O44" s="68"/>
      <c r="P44" s="13">
        <f>IF((G44+J44+M44)=0,0,(G44+J44)/(G44+J44+M44)*100)</f>
        <v>86.666666666666671</v>
      </c>
      <c r="Q44" s="67"/>
      <c r="R44" s="68"/>
      <c r="S44" s="13"/>
      <c r="T44" s="67"/>
      <c r="U44" s="68"/>
      <c r="V44" s="14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6"/>
    </row>
    <row r="45" spans="1:36" ht="22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spans="1:36" ht="28.5" customHeight="1" x14ac:dyDescent="0.35">
      <c r="A46" s="2"/>
      <c r="B46" s="48" t="s">
        <v>19</v>
      </c>
      <c r="C46" s="48"/>
      <c r="D46" s="48"/>
      <c r="E46" s="48"/>
      <c r="F46" s="48"/>
      <c r="G46" s="48"/>
      <c r="H46" s="48"/>
      <c r="I46" s="48"/>
      <c r="J46" s="48"/>
      <c r="L46" s="49" t="s">
        <v>78</v>
      </c>
      <c r="M46" s="50"/>
      <c r="N46" s="50"/>
      <c r="O46" s="50"/>
      <c r="P46" s="50"/>
      <c r="Q46" s="50"/>
      <c r="R46" s="50"/>
      <c r="S46" s="50"/>
      <c r="T46" s="50"/>
      <c r="U46" s="50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6" ht="22" customHeight="1" x14ac:dyDescent="0.35">
      <c r="A47" s="2"/>
      <c r="B47" s="51"/>
      <c r="C47" s="51"/>
      <c r="D47" s="51"/>
      <c r="E47" s="51"/>
      <c r="F47" s="51"/>
      <c r="G47" s="51"/>
      <c r="H47" s="51"/>
      <c r="I47" s="51"/>
      <c r="J47" s="51"/>
      <c r="L47" s="52" t="s">
        <v>21</v>
      </c>
      <c r="M47" s="52"/>
      <c r="N47" s="52"/>
      <c r="O47" s="52"/>
      <c r="P47" s="52"/>
      <c r="Q47" s="52"/>
      <c r="R47" s="52"/>
      <c r="S47" s="52"/>
      <c r="T47" s="53">
        <v>30</v>
      </c>
      <c r="U47" s="54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6" ht="22" customHeight="1" x14ac:dyDescent="0.35">
      <c r="A48" s="2"/>
      <c r="B48" s="51"/>
      <c r="C48" s="51"/>
      <c r="D48" s="51"/>
      <c r="E48" s="51"/>
      <c r="F48" s="51"/>
      <c r="G48" s="51"/>
      <c r="H48" s="51"/>
      <c r="I48" s="51"/>
      <c r="J48" s="51"/>
      <c r="L48" s="52" t="s">
        <v>42</v>
      </c>
      <c r="M48" s="52"/>
      <c r="N48" s="52"/>
      <c r="O48" s="52"/>
      <c r="P48" s="52"/>
      <c r="Q48" s="52"/>
      <c r="R48" s="52"/>
      <c r="S48" s="52"/>
      <c r="T48" s="53">
        <v>20</v>
      </c>
      <c r="U48" s="54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1:36" ht="22" customHeight="1" x14ac:dyDescent="0.35">
      <c r="A49" s="2"/>
      <c r="B49" s="51"/>
      <c r="C49" s="51"/>
      <c r="D49" s="51"/>
      <c r="E49" s="51"/>
      <c r="F49" s="51"/>
      <c r="G49" s="51"/>
      <c r="H49" s="51"/>
      <c r="I49" s="51"/>
      <c r="J49" s="51"/>
      <c r="L49" s="55" t="s">
        <v>43</v>
      </c>
      <c r="M49" s="55"/>
      <c r="N49" s="55"/>
      <c r="O49" s="55"/>
      <c r="P49" s="55"/>
      <c r="Q49" s="55"/>
      <c r="R49" s="55"/>
      <c r="S49" s="55"/>
      <c r="T49" s="58">
        <f>T47*T48</f>
        <v>600</v>
      </c>
      <c r="U49" s="59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1:36" ht="22" customHeight="1" x14ac:dyDescent="0.35">
      <c r="A50" s="2"/>
      <c r="B50" s="51"/>
      <c r="C50" s="51"/>
      <c r="D50" s="51"/>
      <c r="E50" s="51"/>
      <c r="F50" s="51"/>
      <c r="G50" s="51"/>
      <c r="H50" s="51"/>
      <c r="I50" s="51"/>
      <c r="J50" s="51"/>
      <c r="L50" s="52" t="s">
        <v>44</v>
      </c>
      <c r="M50" s="52"/>
      <c r="N50" s="52"/>
      <c r="O50" s="52"/>
      <c r="P50" s="52"/>
      <c r="Q50" s="52"/>
      <c r="R50" s="52"/>
      <c r="S50" s="52"/>
      <c r="T50" s="60">
        <f>COUNTIF(E5:AH43,"H")</f>
        <v>424</v>
      </c>
      <c r="U50" s="61"/>
      <c r="AD50" s="2"/>
      <c r="AE50" s="2"/>
      <c r="AF50" s="2"/>
      <c r="AG50" s="2"/>
      <c r="AH50" s="2"/>
      <c r="AI50" s="2"/>
    </row>
    <row r="51" spans="1:36" ht="22" customHeight="1" x14ac:dyDescent="0.35">
      <c r="A51" s="2"/>
      <c r="B51" s="51"/>
      <c r="C51" s="51"/>
      <c r="D51" s="51"/>
      <c r="E51" s="51"/>
      <c r="F51" s="51"/>
      <c r="G51" s="51"/>
      <c r="H51" s="51"/>
      <c r="I51" s="51"/>
      <c r="J51" s="51"/>
      <c r="L51" s="52" t="s">
        <v>87</v>
      </c>
      <c r="M51" s="52"/>
      <c r="N51" s="52"/>
      <c r="O51" s="52"/>
      <c r="P51" s="52"/>
      <c r="Q51" s="52"/>
      <c r="R51" s="52"/>
      <c r="S51" s="52"/>
      <c r="T51" s="60">
        <f>COUNTIF(E5:AH43,"T")</f>
        <v>96</v>
      </c>
      <c r="U51" s="61"/>
      <c r="AD51" s="2"/>
      <c r="AE51" s="2"/>
      <c r="AF51" s="2"/>
      <c r="AG51" s="2"/>
      <c r="AH51" s="2"/>
      <c r="AI51" s="2"/>
    </row>
    <row r="52" spans="1:36" ht="22" customHeight="1" x14ac:dyDescent="0.35">
      <c r="A52" s="2"/>
      <c r="B52" s="51"/>
      <c r="C52" s="51"/>
      <c r="D52" s="51"/>
      <c r="E52" s="51"/>
      <c r="F52" s="51"/>
      <c r="G52" s="51"/>
      <c r="H52" s="51"/>
      <c r="I52" s="51"/>
      <c r="J52" s="51"/>
      <c r="L52" s="52" t="s">
        <v>88</v>
      </c>
      <c r="M52" s="52"/>
      <c r="N52" s="52"/>
      <c r="O52" s="52"/>
      <c r="P52" s="52"/>
      <c r="Q52" s="52"/>
      <c r="R52" s="52"/>
      <c r="S52" s="52"/>
      <c r="T52" s="60">
        <f>COUNTIF(E5:AH43,"A")+COUNTIF(E5:AH43,"I")</f>
        <v>80</v>
      </c>
      <c r="U52" s="61"/>
      <c r="AD52" s="2"/>
      <c r="AE52" s="2"/>
      <c r="AF52" s="2"/>
      <c r="AG52" s="2"/>
      <c r="AH52" s="2"/>
      <c r="AI52" s="2"/>
    </row>
    <row r="53" spans="1:36" ht="22" customHeight="1" x14ac:dyDescent="0.35">
      <c r="A53" s="2"/>
      <c r="B53" s="51"/>
      <c r="C53" s="51"/>
      <c r="D53" s="51"/>
      <c r="E53" s="51"/>
      <c r="F53" s="51"/>
      <c r="G53" s="51"/>
      <c r="H53" s="51"/>
      <c r="I53" s="51"/>
      <c r="J53" s="51"/>
      <c r="L53" s="52" t="s">
        <v>47</v>
      </c>
      <c r="M53" s="52"/>
      <c r="N53" s="52"/>
      <c r="O53" s="52"/>
      <c r="P53" s="52"/>
      <c r="Q53" s="52"/>
      <c r="R53" s="52"/>
      <c r="S53" s="52"/>
      <c r="T53" s="56">
        <f>IF((T50+T51+T52)=0,0,(T50+T51)/( T50+T51+T52))</f>
        <v>0.8666666666666667</v>
      </c>
      <c r="U53" s="57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1:36" ht="16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spans="1:36" ht="16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spans="1:36" ht="16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spans="1:36" ht="16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spans="1:36" ht="16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spans="1:36" ht="16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spans="1:36" ht="16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spans="1:36" ht="16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spans="1:36" ht="16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spans="1:36" ht="16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spans="1:36" ht="16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spans="1:36" ht="16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spans="1:36" ht="16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spans="1:36" ht="16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6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spans="1:36" ht="16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spans="1:36" ht="16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spans="1:36" ht="16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spans="1:36" ht="16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spans="1:36" ht="16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6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6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6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spans="1:36" ht="16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spans="1:36" ht="16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spans="1:36" ht="16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6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6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spans="1:36" ht="16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spans="1:36" ht="16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spans="1:36" ht="16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spans="1:36" ht="16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spans="1:36" ht="16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spans="1:36" ht="16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spans="1:36" ht="16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6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spans="1:36" ht="16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spans="1:36" ht="16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spans="1:36" ht="16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spans="1:36" ht="16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spans="1:36" ht="16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spans="1:36" ht="16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spans="1:36" ht="16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spans="1:36" ht="16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spans="1:36" ht="16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spans="1:36" ht="16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spans="1:36" ht="16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spans="1:36" ht="16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spans="1:36" ht="16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spans="1:36" ht="16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spans="1:36" ht="16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spans="1:36" ht="16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spans="1:36" ht="16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spans="1:36" ht="16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spans="1:36" ht="16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spans="1:36" ht="16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spans="1:36" ht="16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spans="1:36" ht="16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spans="1:36" ht="16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spans="1:36" ht="16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spans="1:36" ht="16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spans="1:36" ht="16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spans="1:36" ht="16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spans="1:36" ht="16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spans="1:36" ht="16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spans="1:36" ht="16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spans="1:36" ht="16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6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6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6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6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6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6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6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6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6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6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6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6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6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6" ht="16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6" ht="16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6" ht="16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6" ht="16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6" ht="16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6" ht="16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spans="1:36" ht="16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spans="1:36" ht="16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spans="1:36" ht="16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spans="1:36" ht="16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spans="1:36" ht="16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spans="1:36" ht="16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spans="1:36" ht="16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spans="1:36" ht="16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spans="1:36" ht="16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spans="1:36" ht="16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spans="1:36" ht="16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spans="1:36" ht="16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spans="1:36" ht="16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spans="1:36" ht="16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spans="1:36" ht="16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spans="1:36" ht="16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spans="1:36" ht="16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spans="1:36" ht="16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spans="1:36" ht="16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spans="1:36" ht="16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spans="1:36" ht="16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spans="1:36" ht="16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spans="1:36" ht="16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spans="1:36" ht="16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spans="1:36" ht="16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spans="1:36" ht="16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spans="1:36" ht="16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spans="1:36" ht="16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spans="1:36" ht="16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spans="1:36" ht="16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spans="1:36" ht="16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spans="1:36" ht="16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spans="1:36" ht="16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spans="1:36" ht="16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spans="1:36" ht="16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spans="1:36" ht="16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spans="1:36" ht="16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spans="1:36" ht="16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spans="1:36" ht="16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spans="1:36" ht="16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spans="1:36" ht="16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spans="1:36" ht="16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spans="1:36" ht="16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spans="1:36" ht="16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spans="1:36" ht="16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spans="1:36" ht="16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spans="1:36" ht="16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spans="1:36" ht="16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spans="1:36" ht="16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spans="1:36" ht="16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spans="1:36" ht="16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spans="1:36" ht="16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spans="1:36" ht="16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spans="1:36" ht="16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spans="1:36" ht="16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spans="1:36" ht="16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spans="1:36" ht="16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spans="1:36" ht="16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spans="1:36" ht="16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spans="1:36" ht="16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spans="1:36" ht="16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spans="1:36" ht="16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spans="1:36" ht="16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spans="1:36" ht="16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spans="1:36" ht="16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spans="1:36" ht="16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spans="1:36" ht="16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spans="1:36" ht="16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spans="1:36" ht="16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spans="1:36" ht="16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spans="1:36" ht="16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spans="1:36" ht="16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spans="1:36" ht="16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spans="1:36" ht="16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spans="1:36" ht="16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spans="1:36" ht="16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spans="1:36" ht="16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spans="1:36" ht="16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spans="1:36" ht="16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spans="1:36" ht="16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spans="1:36" ht="16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spans="1:36" ht="16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spans="1:36" ht="16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spans="1:36" ht="16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spans="1:36" ht="16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spans="1:36" ht="16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spans="1:36" ht="16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spans="1:36" ht="16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spans="1:36" ht="16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spans="1:36" ht="16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spans="1:36" ht="16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spans="1:36" ht="16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spans="1:36" ht="16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spans="1:36" ht="16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spans="1:36" ht="16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spans="1:36" ht="16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spans="1:36" ht="16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spans="1:36" ht="16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spans="1:36" ht="16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spans="1:36" ht="16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spans="1:36" ht="16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spans="1:36" ht="16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spans="1:36" ht="16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spans="1:36" ht="16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spans="1:36" ht="16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spans="1:36" ht="16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spans="1:36" ht="16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spans="1:36" ht="16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spans="1:36" ht="16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spans="1:36" ht="16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spans="1:36" ht="16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spans="1:36" ht="16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spans="1:36" ht="16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spans="1:36" ht="16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spans="1:36" ht="16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spans="1:36" ht="16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spans="1:36" ht="16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spans="1:36" ht="16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spans="1:36" ht="16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spans="1:36" ht="16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spans="1:36" ht="16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spans="1:36" ht="16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spans="1:36" ht="16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spans="1:36" ht="16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spans="1:36" ht="16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spans="1:36" ht="16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spans="1:36" ht="16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spans="1:36" ht="16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spans="1:36" ht="16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spans="1:36" ht="16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spans="1:36" ht="16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spans="1:36" ht="16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spans="1:36" ht="16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spans="1:36" ht="16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spans="1:36" ht="16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spans="1:36" ht="16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spans="1:36" ht="16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spans="1:36" ht="16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spans="1:36" ht="16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spans="1:36" ht="16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spans="1:36" ht="16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spans="1:36" ht="16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spans="1:36" ht="16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spans="1:36" ht="16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spans="1:36" ht="16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spans="1:36" ht="16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spans="1:36" ht="16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spans="1:36" ht="16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spans="1:36" ht="16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spans="1:36" ht="16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spans="1:36" ht="16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spans="1:36" ht="16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spans="1:36" ht="16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spans="1:36" ht="16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spans="1:36" ht="16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spans="1:36" ht="16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spans="1:36" ht="16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spans="1:36" ht="16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spans="1:36" ht="16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spans="1:36" ht="16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spans="1:36" ht="16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spans="1:36" ht="16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spans="1:36" ht="16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spans="1:36" ht="16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spans="1:36" ht="16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spans="1:36" ht="16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spans="1:36" ht="16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spans="1:36" ht="16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spans="1:36" ht="16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spans="1:36" ht="16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spans="1:36" ht="16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spans="1:36" ht="16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spans="1:36" ht="16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spans="1:36" ht="16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spans="1:36" ht="16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spans="1:36" ht="16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spans="1:36" ht="16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spans="1:36" ht="16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spans="1:36" ht="16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spans="1:36" ht="16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spans="1:36" ht="16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spans="1:36" ht="16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spans="1:36" ht="16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spans="1:36" ht="16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spans="1:36" ht="16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spans="1:36" ht="16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spans="1:36" ht="16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spans="1:36" ht="16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spans="1:36" ht="16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spans="1:36" ht="16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spans="1:36" ht="16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spans="1:36" ht="16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spans="1:36" ht="16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spans="1:36" ht="16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spans="1:36" ht="16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spans="1:36" ht="16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spans="1:36" ht="16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spans="1:36" ht="16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spans="1:36" ht="16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spans="1:36" ht="16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spans="1:36" ht="16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spans="1:36" ht="16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spans="1:36" ht="16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spans="1:36" ht="16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spans="1:36" ht="16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spans="1:36" ht="16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spans="1:36" ht="16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spans="1:36" ht="16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spans="1:36" ht="16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spans="1:36" ht="16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spans="1:36" ht="16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spans="1:36" ht="16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spans="1:36" ht="16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spans="1:36" ht="16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spans="1:36" ht="16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spans="1:36" ht="16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spans="1:36" ht="16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spans="1:36" ht="16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spans="1:36" ht="16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spans="1:36" ht="16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spans="1:36" ht="16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spans="1:36" ht="16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spans="1:36" ht="16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spans="1:36" ht="16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spans="1:36" ht="16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spans="1:36" ht="16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spans="1:36" ht="16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spans="1:36" ht="16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spans="1:36" ht="16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spans="1:36" ht="16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spans="1:36" ht="16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spans="1:36" ht="16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spans="1:36" ht="16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spans="1:36" ht="16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spans="1:36" ht="16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spans="1:36" ht="16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spans="1:36" ht="16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spans="1:36" ht="16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spans="1:36" ht="16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spans="1:36" ht="16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spans="1:36" ht="16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spans="1:36" ht="16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spans="1:36" ht="16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spans="1:36" ht="16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spans="1:36" ht="16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spans="1:36" ht="16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spans="1:36" ht="16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spans="1:36" ht="16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spans="1:36" ht="16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spans="1:36" ht="16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spans="1:36" ht="16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spans="1:36" ht="16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spans="1:36" ht="16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spans="1:36" ht="16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spans="1:36" ht="16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spans="1:36" ht="16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spans="1:36" ht="16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spans="1:36" ht="16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spans="1:36" ht="16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spans="1:36" ht="16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spans="1:36" ht="16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spans="1:36" ht="16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spans="1:36" ht="16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spans="1:36" ht="16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spans="1:36" ht="16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spans="1:36" ht="16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spans="1:36" ht="16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spans="1:36" ht="16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spans="1:36" ht="16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spans="1:36" ht="16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spans="1:36" ht="16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spans="1:36" ht="16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spans="1:36" ht="16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spans="1:36" ht="16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spans="1:36" ht="16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spans="1:36" ht="16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spans="1:36" ht="16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spans="1:36" ht="16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spans="1:36" ht="16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spans="1:36" ht="16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spans="1:36" ht="16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spans="1:36" ht="16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spans="1:36" ht="16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spans="1:36" ht="16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spans="1:36" ht="16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spans="1:36" ht="16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spans="1:36" ht="16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spans="1:36" ht="16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spans="1:36" ht="16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spans="1:36" ht="16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spans="1:36" ht="16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spans="1:36" ht="16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spans="1:36" ht="16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spans="1:36" ht="16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spans="1:36" ht="16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spans="1:36" ht="16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spans="1:36" ht="16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spans="1:36" ht="16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spans="1:36" ht="16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spans="1:36" ht="16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spans="1:36" ht="16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spans="1:36" ht="16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spans="1:36" ht="16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spans="1:36" ht="16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spans="1:36" ht="16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spans="1:36" ht="16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spans="1:36" ht="16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spans="1:36" ht="16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spans="1:36" ht="16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spans="1:36" ht="16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spans="1:36" ht="16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spans="1:36" ht="16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spans="1:36" ht="16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spans="1:36" ht="16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spans="1:36" ht="16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spans="1:36" ht="16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spans="1:36" ht="16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spans="1:36" ht="16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spans="1:36" ht="16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spans="1:36" ht="16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spans="1:36" ht="16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spans="1:36" ht="16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spans="1:36" ht="16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spans="1:36" ht="16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spans="1:36" ht="16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spans="1:36" ht="16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spans="1:36" ht="16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spans="1:36" ht="16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spans="1:36" ht="16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spans="1:36" ht="16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spans="1:36" ht="16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spans="1:36" ht="16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spans="1:36" ht="16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spans="1:36" ht="16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spans="1:36" ht="16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spans="1:36" ht="16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spans="1:36" ht="16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spans="1:36" ht="16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spans="1:36" ht="16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spans="1:36" ht="16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spans="1:36" ht="16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spans="1:36" ht="16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spans="1:36" ht="16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spans="1:36" ht="16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spans="1:36" ht="16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spans="1:36" ht="16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spans="1:36" ht="16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spans="1:36" ht="16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spans="1:36" ht="16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spans="1:36" ht="16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spans="1:36" ht="16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spans="1:36" ht="16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spans="1:36" ht="16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spans="1:36" ht="16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spans="1:36" ht="16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spans="1:36" ht="16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spans="1:36" ht="16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spans="1:36" ht="16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spans="1:36" ht="16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spans="1:36" ht="16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spans="1:36" ht="16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spans="1:36" ht="16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spans="1:36" ht="16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spans="1:36" ht="16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spans="1:36" ht="16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spans="1:36" ht="16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spans="1:36" ht="16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spans="1:36" ht="16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spans="1:36" ht="16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spans="1:36" ht="16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spans="1:36" ht="16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spans="1:36" ht="16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spans="1:36" ht="16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spans="1:36" ht="16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spans="1:36" ht="16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spans="1:36" ht="16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spans="1:36" ht="16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spans="1:36" ht="16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spans="1:36" ht="16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spans="1:36" ht="16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spans="1:36" ht="16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spans="1:36" ht="16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spans="1:36" ht="16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spans="1:36" ht="16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spans="1:36" ht="16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spans="1:36" ht="16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spans="1:36" ht="16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spans="1:36" ht="16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spans="1:36" ht="16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spans="1:36" ht="16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spans="1:36" ht="16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spans="1:36" ht="16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spans="1:36" ht="16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spans="1:36" ht="16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spans="1:36" ht="16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spans="1:36" ht="16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spans="1:36" ht="16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spans="1:36" ht="16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spans="1:36" ht="16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spans="1:36" ht="16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spans="1:36" ht="16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spans="1:36" ht="16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spans="1:36" ht="16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spans="1:36" ht="16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spans="1:36" ht="16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spans="1:36" ht="16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spans="1:36" ht="16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spans="1:36" ht="16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spans="1:36" ht="16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spans="1:36" ht="16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spans="1:36" ht="16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spans="1:36" ht="16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spans="1:36" ht="16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spans="1:36" ht="16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spans="1:36" ht="16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spans="1:36" ht="16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spans="1:36" ht="16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spans="1:36" ht="16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spans="1:36" ht="16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spans="1:36" ht="16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spans="1:36" ht="16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spans="1:36" ht="16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spans="1:36" ht="16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spans="1:36" ht="16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spans="1:36" ht="16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spans="1:36" ht="16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spans="1:36" ht="16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spans="1:36" ht="16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spans="1:36" ht="16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spans="1:36" ht="16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spans="1:36" ht="16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spans="1:36" ht="16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spans="1:36" ht="16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spans="1:36" ht="16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spans="1:36" ht="16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spans="1:36" ht="16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spans="1:36" ht="16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spans="1:36" ht="16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spans="1:36" ht="16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spans="1:36" ht="16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spans="1:36" ht="16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spans="1:36" ht="16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spans="1:36" ht="16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spans="1:36" ht="16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spans="1:36" ht="16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spans="1:36" ht="16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spans="1:36" ht="16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spans="1:36" ht="16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spans="1:36" ht="16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spans="1:36" ht="16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spans="1:36" ht="16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spans="1:36" ht="16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spans="1:36" ht="16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spans="1:36" ht="16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spans="1:36" ht="16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spans="1:36" ht="16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spans="1:36" ht="16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spans="1:36" ht="16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spans="1:36" ht="16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spans="1:36" ht="16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spans="1:36" ht="16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spans="1:36" ht="16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spans="1:36" ht="16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spans="1:36" ht="16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spans="1:36" ht="16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spans="1:36" ht="16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spans="1:36" ht="16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spans="1:36" ht="16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spans="1:36" ht="16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spans="1:36" ht="16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spans="1:36" ht="16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spans="1:36" ht="16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spans="1:36" ht="16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spans="1:36" ht="16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spans="1:36" ht="16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spans="1:36" ht="16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spans="1:36" ht="16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spans="1:36" ht="16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spans="1:36" ht="16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spans="1:36" ht="16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spans="1:36" ht="16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spans="1:36" ht="16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spans="1:36" ht="16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spans="1:36" ht="16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spans="1:36" ht="16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spans="1:36" ht="16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spans="1:36" ht="16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spans="1:36" ht="16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spans="1:36" ht="16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spans="1:36" ht="16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spans="1:36" ht="16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spans="1:36" ht="16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spans="1:36" ht="16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spans="1:36" ht="16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spans="1:36" ht="16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spans="1:36" ht="16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spans="1:36" ht="16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spans="1:36" ht="16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spans="1:36" ht="16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spans="1:36" ht="16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spans="1:36" ht="16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spans="1:36" ht="16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spans="1:36" ht="16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spans="1:36" ht="16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spans="1:36" ht="16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spans="1:36" ht="16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spans="1:36" ht="16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spans="1:36" ht="16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spans="1:36" ht="16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spans="1:36" ht="16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spans="1:36" ht="16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</sheetData>
  <mergeCells count="184">
    <mergeCell ref="M2:N2"/>
    <mergeCell ref="Q2:R2"/>
    <mergeCell ref="U2:W2"/>
    <mergeCell ref="C4:D4"/>
    <mergeCell ref="B5:D5"/>
    <mergeCell ref="B6:C6"/>
    <mergeCell ref="E6:F6"/>
    <mergeCell ref="H6:I6"/>
    <mergeCell ref="K6:L6"/>
    <mergeCell ref="B2:D2"/>
    <mergeCell ref="E2:F2"/>
    <mergeCell ref="I2:J2"/>
    <mergeCell ref="N6:O6"/>
    <mergeCell ref="Q6:R6"/>
    <mergeCell ref="T6:U6"/>
    <mergeCell ref="B7:D7"/>
    <mergeCell ref="B8:C8"/>
    <mergeCell ref="E8:F8"/>
    <mergeCell ref="H8:I8"/>
    <mergeCell ref="K8:L8"/>
    <mergeCell ref="N8:O8"/>
    <mergeCell ref="Q8:R8"/>
    <mergeCell ref="B11:D11"/>
    <mergeCell ref="B12:C12"/>
    <mergeCell ref="E12:F12"/>
    <mergeCell ref="H12:I12"/>
    <mergeCell ref="K12:L12"/>
    <mergeCell ref="N12:O12"/>
    <mergeCell ref="T8:U8"/>
    <mergeCell ref="B9:D9"/>
    <mergeCell ref="B10:C10"/>
    <mergeCell ref="E10:F10"/>
    <mergeCell ref="H10:I10"/>
    <mergeCell ref="K10:L10"/>
    <mergeCell ref="N10:O10"/>
    <mergeCell ref="Q10:R10"/>
    <mergeCell ref="T10:U10"/>
    <mergeCell ref="B15:D15"/>
    <mergeCell ref="B16:C16"/>
    <mergeCell ref="E16:F16"/>
    <mergeCell ref="H16:I16"/>
    <mergeCell ref="K16:L16"/>
    <mergeCell ref="N16:O16"/>
    <mergeCell ref="Q12:R12"/>
    <mergeCell ref="T12:U12"/>
    <mergeCell ref="B13:D13"/>
    <mergeCell ref="B14:C14"/>
    <mergeCell ref="E14:F14"/>
    <mergeCell ref="H14:I14"/>
    <mergeCell ref="K14:L14"/>
    <mergeCell ref="N14:O14"/>
    <mergeCell ref="Q14:R14"/>
    <mergeCell ref="T14:U14"/>
    <mergeCell ref="B19:D19"/>
    <mergeCell ref="B20:C20"/>
    <mergeCell ref="E20:F20"/>
    <mergeCell ref="H20:I20"/>
    <mergeCell ref="K20:L20"/>
    <mergeCell ref="N20:O20"/>
    <mergeCell ref="Q16:R16"/>
    <mergeCell ref="T16:U16"/>
    <mergeCell ref="B17:D17"/>
    <mergeCell ref="B18:C18"/>
    <mergeCell ref="E18:F18"/>
    <mergeCell ref="H18:I18"/>
    <mergeCell ref="K18:L18"/>
    <mergeCell ref="N18:O18"/>
    <mergeCell ref="Q18:R18"/>
    <mergeCell ref="T18:U18"/>
    <mergeCell ref="B23:D23"/>
    <mergeCell ref="B24:C24"/>
    <mergeCell ref="E24:F24"/>
    <mergeCell ref="H24:I24"/>
    <mergeCell ref="K24:L24"/>
    <mergeCell ref="N24:O24"/>
    <mergeCell ref="Q20:R20"/>
    <mergeCell ref="T20:U20"/>
    <mergeCell ref="B21:D21"/>
    <mergeCell ref="B22:C22"/>
    <mergeCell ref="E22:F22"/>
    <mergeCell ref="H22:I22"/>
    <mergeCell ref="K22:L22"/>
    <mergeCell ref="N22:O22"/>
    <mergeCell ref="Q22:R22"/>
    <mergeCell ref="T22:U22"/>
    <mergeCell ref="B27:D27"/>
    <mergeCell ref="B28:C28"/>
    <mergeCell ref="E28:F28"/>
    <mergeCell ref="H28:I28"/>
    <mergeCell ref="K28:L28"/>
    <mergeCell ref="N28:O28"/>
    <mergeCell ref="Q24:R24"/>
    <mergeCell ref="T24:U24"/>
    <mergeCell ref="B25:D25"/>
    <mergeCell ref="B26:C26"/>
    <mergeCell ref="E26:F26"/>
    <mergeCell ref="H26:I26"/>
    <mergeCell ref="K26:L26"/>
    <mergeCell ref="N26:O26"/>
    <mergeCell ref="Q26:R26"/>
    <mergeCell ref="T26:U26"/>
    <mergeCell ref="B31:D31"/>
    <mergeCell ref="B32:C32"/>
    <mergeCell ref="E32:F32"/>
    <mergeCell ref="H32:I32"/>
    <mergeCell ref="K32:L32"/>
    <mergeCell ref="N32:O32"/>
    <mergeCell ref="Q28:R28"/>
    <mergeCell ref="T28:U28"/>
    <mergeCell ref="B29:D29"/>
    <mergeCell ref="B30:C30"/>
    <mergeCell ref="E30:F30"/>
    <mergeCell ref="H30:I30"/>
    <mergeCell ref="K30:L30"/>
    <mergeCell ref="N30:O30"/>
    <mergeCell ref="Q30:R30"/>
    <mergeCell ref="T30:U30"/>
    <mergeCell ref="B35:D35"/>
    <mergeCell ref="B36:C36"/>
    <mergeCell ref="E36:F36"/>
    <mergeCell ref="H36:I36"/>
    <mergeCell ref="K36:L36"/>
    <mergeCell ref="N36:O36"/>
    <mergeCell ref="Q32:R32"/>
    <mergeCell ref="T32:U32"/>
    <mergeCell ref="B33:D33"/>
    <mergeCell ref="B34:C34"/>
    <mergeCell ref="E34:F34"/>
    <mergeCell ref="H34:I34"/>
    <mergeCell ref="K34:L34"/>
    <mergeCell ref="N34:O34"/>
    <mergeCell ref="Q34:R34"/>
    <mergeCell ref="T34:U34"/>
    <mergeCell ref="B39:D39"/>
    <mergeCell ref="B40:C40"/>
    <mergeCell ref="E40:F40"/>
    <mergeCell ref="H40:I40"/>
    <mergeCell ref="K40:L40"/>
    <mergeCell ref="N40:O40"/>
    <mergeCell ref="Q36:R36"/>
    <mergeCell ref="T36:U36"/>
    <mergeCell ref="B37:D37"/>
    <mergeCell ref="B38:C38"/>
    <mergeCell ref="E38:F38"/>
    <mergeCell ref="H38:I38"/>
    <mergeCell ref="K38:L38"/>
    <mergeCell ref="N38:O38"/>
    <mergeCell ref="Q38:R38"/>
    <mergeCell ref="T38:U38"/>
    <mergeCell ref="B43:D43"/>
    <mergeCell ref="B44:C44"/>
    <mergeCell ref="E44:F44"/>
    <mergeCell ref="H44:I44"/>
    <mergeCell ref="K44:L44"/>
    <mergeCell ref="N44:O44"/>
    <mergeCell ref="Q40:R40"/>
    <mergeCell ref="T40:U40"/>
    <mergeCell ref="B41:D41"/>
    <mergeCell ref="B42:C42"/>
    <mergeCell ref="E42:F42"/>
    <mergeCell ref="H42:I42"/>
    <mergeCell ref="K42:L42"/>
    <mergeCell ref="N42:O42"/>
    <mergeCell ref="Q42:R42"/>
    <mergeCell ref="T42:U42"/>
    <mergeCell ref="Q44:R44"/>
    <mergeCell ref="T44:U44"/>
    <mergeCell ref="B46:J46"/>
    <mergeCell ref="L46:U46"/>
    <mergeCell ref="B47:J53"/>
    <mergeCell ref="L47:S47"/>
    <mergeCell ref="T47:U47"/>
    <mergeCell ref="L48:S48"/>
    <mergeCell ref="T48:U48"/>
    <mergeCell ref="L49:S49"/>
    <mergeCell ref="L53:S53"/>
    <mergeCell ref="T53:U53"/>
    <mergeCell ref="T49:U49"/>
    <mergeCell ref="L50:S50"/>
    <mergeCell ref="T50:U50"/>
    <mergeCell ref="L51:S51"/>
    <mergeCell ref="T51:U51"/>
    <mergeCell ref="L52:S52"/>
    <mergeCell ref="T52:U52"/>
  </mergeCells>
  <conditionalFormatting sqref="E5:AH44">
    <cfRule type="cellIs" dxfId="10" priority="1" operator="equal">
      <formula>"H"</formula>
    </cfRule>
    <cfRule type="cellIs" dxfId="9" priority="6" operator="equal">
      <formula>"I"</formula>
    </cfRule>
    <cfRule type="cellIs" dxfId="8" priority="7" operator="equal">
      <formula>"T"</formula>
    </cfRule>
    <cfRule type="cellIs" dxfId="7" priority="8" operator="equal">
      <formula>"A"</formula>
    </cfRule>
  </conditionalFormatting>
  <conditionalFormatting sqref="G2 K2 O2">
    <cfRule type="cellIs" dxfId="6" priority="2" operator="equal">
      <formula>"I"</formula>
    </cfRule>
    <cfRule type="cellIs" dxfId="5" priority="9" operator="equal">
      <formula>"H"</formula>
    </cfRule>
    <cfRule type="cellIs" dxfId="4" priority="10" operator="equal">
      <formula>"T"</formula>
    </cfRule>
    <cfRule type="cellIs" dxfId="3" priority="11" operator="equal">
      <formula>"A"</formula>
    </cfRule>
  </conditionalFormatting>
  <conditionalFormatting sqref="S2">
    <cfRule type="cellIs" dxfId="2" priority="3" operator="equal">
      <formula>"H"</formula>
    </cfRule>
    <cfRule type="cellIs" dxfId="1" priority="4" operator="equal">
      <formula>"T"</formula>
    </cfRule>
    <cfRule type="cellIs" dxfId="0" priority="5" operator="equal">
      <formula>"A"</formula>
    </cfRule>
  </conditionalFormatting>
  <pageMargins left="0.4" right="0.4" top="0.4" bottom="0.4" header="0" footer="0"/>
  <pageSetup paperSize="3" scale="42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Dashboard</vt:lpstr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  <vt:lpstr>Agustus!Print_Area</vt:lpstr>
      <vt:lpstr>April!Print_Area</vt:lpstr>
      <vt:lpstr>Dashboard!Print_Area</vt:lpstr>
      <vt:lpstr>Desember!Print_Area</vt:lpstr>
      <vt:lpstr>Februari!Print_Area</vt:lpstr>
      <vt:lpstr>Januari!Print_Area</vt:lpstr>
      <vt:lpstr>Juli!Print_Area</vt:lpstr>
      <vt:lpstr>Juni!Print_Area</vt:lpstr>
      <vt:lpstr>Maret!Print_Area</vt:lpstr>
      <vt:lpstr>Mei!Print_Area</vt:lpstr>
      <vt:lpstr>November!Print_Area</vt:lpstr>
      <vt:lpstr>Oktober!Print_Area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</dc:creator>
  <cp:lastModifiedBy>Robin Andra</cp:lastModifiedBy>
  <cp:lastPrinted>2025-07-27T01:30:20Z</cp:lastPrinted>
  <dcterms:created xsi:type="dcterms:W3CDTF">2022-12-19T01:03:08Z</dcterms:created>
  <dcterms:modified xsi:type="dcterms:W3CDTF">2025-09-30T03:41:40Z</dcterms:modified>
</cp:coreProperties>
</file>